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ovimientos" sheetId="2" state="visible" r:id="rId4"/>
    <sheet name="Cobros" sheetId="3" state="visible" r:id="rId5"/>
    <sheet name="Cómo usar" sheetId="4" state="visible" r:id="rId6"/>
  </sheets>
  <definedNames>
    <definedName function="false" hidden="true" localSheetId="2" name="_xlnm._FilterDatabase" vbProcedure="false">Cobros!$A$3:$I$303</definedName>
    <definedName function="false" hidden="true" localSheetId="1" name="_xlnm._FilterDatabase" vbProcedure="false">Movimientos!$A$3:$L$303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Único dato editable de esta hoja: el año que muestra el cuadro mensual.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Fórmula: Neto + IVA. Si no hay factura, dejá IVA vacío y el Importe es igual al Neto.</t>
        </r>
      </text>
    </comment>
    <comment ref="I3" authorId="0">
      <text>
        <r>
          <rPr>
            <sz val="10"/>
            <rFont val="Arial"/>
            <family val="2"/>
          </rPr>
          <t xml:space="preserve">CC: el pago sale de la cuenta corriente (cheques cobrados).
Transferencia / Efectivo: Bahioma lo pagó aparte, no toca la CC.</t>
        </r>
      </text>
    </comment>
    <comment ref="J3" authorId="0">
      <text>
        <r>
          <rPr>
            <sz val="10"/>
            <rFont val="Arial"/>
            <family val="2"/>
          </rPr>
          <t xml:space="preserve">Saldado: ya cobrado. Pendiente: todavía no se pagó (se muestra como próximo vencimiento).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Fecha en que el cheque se acreditó (para eCheq diferido, la fecha de pago).</t>
        </r>
      </text>
    </comment>
    <comment ref="G3" authorId="0">
      <text>
        <r>
          <rPr>
            <sz val="10"/>
            <rFont val="Arial"/>
            <family val="2"/>
          </rPr>
          <t xml:space="preserve">Impuesto al cheque: solo informativo, no se descuenta del crédito de Bahioma.</t>
        </r>
      </text>
    </comment>
  </commentList>
</comments>
</file>

<file path=xl/sharedStrings.xml><?xml version="1.0" encoding="utf-8"?>
<sst xmlns="http://schemas.openxmlformats.org/spreadsheetml/2006/main" count="123" uniqueCount="93">
  <si>
    <t xml:space="preserve">MAD ESTUDIO · Cuenta corriente Bahioma</t>
  </si>
  <si>
    <t xml:space="preserve">Resumen automático. No se edita: todo se calcula a partir de las hojas Movimientos y Cobros.</t>
  </si>
  <si>
    <t xml:space="preserve">Año del resumen mensual →</t>
  </si>
  <si>
    <t xml:space="preserve">ESTADO DE CUENTA</t>
  </si>
  <si>
    <t xml:space="preserve">Total cobrado a Bahioma (cheques/transf. acreditados)</t>
  </si>
  <si>
    <t xml:space="preserve">Por acreditar (cheques en cartera)</t>
  </si>
  <si>
    <t xml:space="preserve">Aplicado a cuenta corriente (movimientos saldados con CC)</t>
  </si>
  <si>
    <t xml:space="preserve">SALDO CUENTA CORRIENTE (+ a favor de Bahioma / − a favor de MAD)</t>
  </si>
  <si>
    <t xml:space="preserve">Pagado por transferencia / efectivo (fuera de la CC)</t>
  </si>
  <si>
    <t xml:space="preserve">Pendiente de pago (movimientos con estado Pendiente)</t>
  </si>
  <si>
    <t xml:space="preserve">Saldo proyectado (saldo CC + cheques en cartera − pendientes)</t>
  </si>
  <si>
    <t xml:space="preserve">IVA facturado acumulado</t>
  </si>
  <si>
    <t xml:space="preserve">Impuesto al cheque informado (no afecta la CC)</t>
  </si>
  <si>
    <t xml:space="preserve">Lectura del saldo: positivo = Bahioma tiene plata a favor en la CC; negativo = Bahioma le debe ese monto a MAD ESTUDIO. El proyectado supone que los cheques en cartera se acreditan y los pendientes se descuentan de la CC.</t>
  </si>
  <si>
    <t xml:space="preserve">COSTO MENSUAL POR CONCEPTO</t>
  </si>
  <si>
    <t xml:space="preserve">Mes</t>
  </si>
  <si>
    <t xml:space="preserve">Año</t>
  </si>
  <si>
    <t xml:space="preserve">DO (cargas)</t>
  </si>
  <si>
    <t xml:space="preserve">Honorarios</t>
  </si>
  <si>
    <t xml:space="preserve">Otros</t>
  </si>
  <si>
    <t xml:space="preserve">Total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</si>
  <si>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</si>
  <si>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</si>
  <si>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</si>
  <si>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</si>
  <si>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</si>
  <si>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</si>
  <si>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</si>
  <si>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</si>
  <si>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</si>
  <si>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</si>
  <si>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</si>
  <si>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</si>
  <si>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</si>
  <si>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Movimientos · lo que Bahioma le debe a MAD ESTUDIO</t>
  </si>
  <si>
    <t xml:space="preserve">Una fila por concepto y mes. Columnas en azul = se cargan a mano · Importe (gris) = fórmula Neto + IVA, no editar.</t>
  </si>
  <si>
    <t xml:space="preserve">Concepto</t>
  </si>
  <si>
    <t xml:space="preserve">Vencimiento</t>
  </si>
  <si>
    <t xml:space="preserve">Factura N°</t>
  </si>
  <si>
    <t xml:space="preserve">Neto</t>
  </si>
  <si>
    <t xml:space="preserve">IVA</t>
  </si>
  <si>
    <t xml:space="preserve">Importe</t>
  </si>
  <si>
    <t xml:space="preserve">Forma de pago</t>
  </si>
  <si>
    <t xml:space="preserve">Estado</t>
  </si>
  <si>
    <t xml:space="preserve">Fecha de pago</t>
  </si>
  <si>
    <t xml:space="preserve">Observaciones</t>
  </si>
  <si>
    <t xml:space="preserve">1 al 10 de Julio</t>
  </si>
  <si>
    <t xml:space="preserve">Transferencia</t>
  </si>
  <si>
    <t xml:space="preserve">Saldado</t>
  </si>
  <si>
    <t xml:space="preserve">Facturado con IVA</t>
  </si>
  <si>
    <t xml:space="preserve">1 al 10 de Agosto</t>
  </si>
  <si>
    <t xml:space="preserve">CC</t>
  </si>
  <si>
    <t xml:space="preserve">1 al 10 de Septiembre</t>
  </si>
  <si>
    <t xml:space="preserve">1 al 10 de Octubre</t>
  </si>
  <si>
    <t xml:space="preserve">Pendiente</t>
  </si>
  <si>
    <t xml:space="preserve">Cobros · plata que entró de Bahioma</t>
  </si>
  <si>
    <t xml:space="preserve">Cheques, eCheqs y transferencias recibidas. Solo los cobros en estado Cobrado suman crédito en la cuenta corriente.</t>
  </si>
  <si>
    <t xml:space="preserve">Fecha</t>
  </si>
  <si>
    <t xml:space="preserve">Banco</t>
  </si>
  <si>
    <t xml:space="preserve">Tipo</t>
  </si>
  <si>
    <t xml:space="preserve">Número</t>
  </si>
  <si>
    <t xml:space="preserve">Fecha de cobro</t>
  </si>
  <si>
    <t xml:space="preserve">Imp. al cheque</t>
  </si>
  <si>
    <t xml:space="preserve">Provincia</t>
  </si>
  <si>
    <t xml:space="preserve">eCheq</t>
  </si>
  <si>
    <t xml:space="preserve">10533604</t>
  </si>
  <si>
    <t xml:space="preserve">Cobrado</t>
  </si>
  <si>
    <t xml:space="preserve">Credicoop</t>
  </si>
  <si>
    <t xml:space="preserve">Cheque</t>
  </si>
  <si>
    <t xml:space="preserve">91419581</t>
  </si>
  <si>
    <t xml:space="preserve">En cartera</t>
  </si>
  <si>
    <t xml:space="preserve">BBVA</t>
  </si>
  <si>
    <t xml:space="preserve">734012</t>
  </si>
  <si>
    <t xml:space="preserve">Santander</t>
  </si>
  <si>
    <t xml:space="preserve">1600101</t>
  </si>
  <si>
    <t xml:space="preserve">Cómo usar esta planilla</t>
  </si>
  <si>
    <t xml:space="preserve">Es la única fuente de datos del dashboard que ve Bahioma.</t>
  </si>
  <si>
    <t xml:space="preserve">1. Movimientos</t>
  </si>
  <si>
    <t xml:space="preserve">Cada vez que haya algo para cobrarle a Bahioma (cargas sociales, honorarios, otro concepto), agregá una fila.</t>
  </si>
  <si>
    <t xml:space="preserve">Cargá Año, Mes del servicio, Concepto, Vencimiento (ej. "1 al 10 de Octubre"), Neto y, si emitiste factura, N° e IVA. El Importe se calcula solo.</t>
  </si>
  <si>
    <t xml:space="preserve">Mientras no se pague, Estado = Pendiente. Cuando se salde: Estado = Saldado, Fecha de pago y Forma de pago.</t>
  </si>
  <si>
    <t xml:space="preserve">Forma de pago CC = se descuenta del crédito de la cuenta corriente. Transferencia / Efectivo = lo pagaron aparte, no toca la CC.</t>
  </si>
  <si>
    <t xml:space="preserve">2. Cobros</t>
  </si>
  <si>
    <t xml:space="preserve">Cada cheque, eCheq o transferencia que recibas de Bahioma va en una fila, con su fecha de emisión y fecha de cobro.</t>
  </si>
  <si>
    <t xml:space="preserve">Estado En cartera mientras no se acredite; Cobrado cuando entra la plata. Solo los Cobrados suman crédito en la CC.</t>
  </si>
  <si>
    <t xml:space="preserve">Imp. al cheque es informativo (lo absorbe MAD) y no se descuenta del crédito.</t>
  </si>
  <si>
    <t xml:space="preserve">3. Resumen</t>
  </si>
  <si>
    <t xml:space="preserve">Se calcula solo. Saldo CC = cobros acreditados − movimientos saldados con CC. Positivo: Bahioma tiene plata a favor; negativo: le debe a MAD.</t>
  </si>
  <si>
    <t xml:space="preserve">Saldo proyectado = saldo CC + cheques en cartera − movimientos pendientes: cómo queda la cuenta cuando se acrediten los cheques y se apliquen los vencimientos abiertos.</t>
  </si>
  <si>
    <t xml:space="preserve">4. Actualizar el dashboard</t>
  </si>
  <si>
    <t xml:space="preserve">Guardá esta planilla con el mismo nombre (MAD_Bahioma_CC.xlsx) y subila al repositorio de GitHub: Add file → Upload files, arrastrás el archivo y Commit changes.</t>
  </si>
  <si>
    <t xml:space="preserve">En un minuto GitHub Pages publica la versión nueva. Bahioma entra al mismo link y la ve, sin poder tocar nada.</t>
  </si>
  <si>
    <t xml:space="preserve">Reglas para que la importación no falle: no cambies los nombres de las hojas ni de las columnas; usá los valores de las listas desplegables; no dejes filas vacías entre datos.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</si>
</sst>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$ &quot;#,##0.00;&quot;-$ &quot;#,##0.00;\-"/>
    <numFmt numFmtId="167" formatCode="dd/mm/yyyy"/>
    <numFmt numFmtId="168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111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2"/>
      <color rgb="FF1111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BE6"/>
        <bgColor rgb="FFFFFFFF"/>
      </patternFill>
    </fill>
    <fill>
      <patternFill patternType="solid">
        <fgColor rgb="FF111111"/>
        <bgColor rgb="FF000000"/>
      </patternFill>
    </fill>
    <fill>
      <patternFill patternType="solid">
        <fgColor rgb="FFF2F2F2"/>
        <bgColor rgb="FFFFFBE6"/>
      </patternFill>
    </fill>
    <fill>
      <patternFill patternType="solid">
        <fgColor rgb="FF3A3A3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7" min="5" style="0" width="18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2026</v>
      </c>
    </row>
    <row r="4" customFormat="false" ht="15" hidden="false" customHeight="false" outlineLevel="0" collapsed="false">
      <c r="A4" s="4" t="s">
        <v>3</v>
      </c>
      <c r="B4" s="5"/>
    </row>
    <row r="5" customFormat="false" ht="15" hidden="false" customHeight="false" outlineLevel="0" collapsed="false">
      <c r="A5" s="6" t="s">
        <v>4</v>
      </c>
      <c r="B5" s="7" t="n">
        <f aca="false">SUMIFS(Cobros!$F$4:$F$303,Cobros!$H$4:$H$303,"Cobrado")</f>
        <v>5684230</v>
      </c>
    </row>
    <row r="6" customFormat="false" ht="15" hidden="false" customHeight="false" outlineLevel="0" collapsed="false">
      <c r="A6" s="6" t="s">
        <v>5</v>
      </c>
      <c r="B6" s="7" t="n">
        <f aca="false">SUMIFS(Cobros!$F$4:$F$303,Cobros!$H$4:$H$303,"En cartera")</f>
        <v>2920000</v>
      </c>
    </row>
    <row r="7" customFormat="false" ht="15" hidden="false" customHeight="false" outlineLevel="0" collapsed="false">
      <c r="A7" s="6" t="s">
        <v>6</v>
      </c>
      <c r="B7" s="7" t="n">
        <f aca="false">SUMIFS(Movimientos!$H$4:$H$303,Movimientos!$I$4:$I$303,"CC",Movimientos!$J$4:$J$303,"Saldado")</f>
        <v>5824194.06</v>
      </c>
    </row>
    <row r="8" customFormat="false" ht="15" hidden="false" customHeight="false" outlineLevel="0" collapsed="false">
      <c r="A8" s="8" t="s">
        <v>7</v>
      </c>
      <c r="B8" s="9" t="n">
        <f aca="false">B5-B7</f>
        <v>-139964.060000001</v>
      </c>
    </row>
    <row r="9" customFormat="false" ht="15" hidden="false" customHeight="false" outlineLevel="0" collapsed="false">
      <c r="A9" s="6" t="s">
        <v>8</v>
      </c>
      <c r="B9" s="7" t="n">
        <f aca="false">SUMIFS(Movimientos!$H$4:$H$303,Movimientos!$J$4:$J$303,"Saldado")-B7</f>
        <v>2224506.35</v>
      </c>
    </row>
    <row r="10" customFormat="false" ht="15" hidden="false" customHeight="false" outlineLevel="0" collapsed="false">
      <c r="A10" s="6" t="s">
        <v>9</v>
      </c>
      <c r="B10" s="7" t="n">
        <f aca="false">SUMIFS(Movimientos!$H$4:$H$303,Movimientos!$J$4:$J$303,"Pendiente")</f>
        <v>1223080.74</v>
      </c>
    </row>
    <row r="11" customFormat="false" ht="15" hidden="false" customHeight="false" outlineLevel="0" collapsed="false">
      <c r="A11" s="6" t="s">
        <v>10</v>
      </c>
      <c r="B11" s="7" t="n">
        <f aca="false">B8+B6-B10</f>
        <v>1556955.2</v>
      </c>
    </row>
    <row r="12" customFormat="false" ht="15" hidden="false" customHeight="false" outlineLevel="0" collapsed="false">
      <c r="A12" s="6" t="s">
        <v>11</v>
      </c>
      <c r="B12" s="7" t="n">
        <f aca="false">SUM(Movimientos!$G$4:$G$303)</f>
        <v>386071.35</v>
      </c>
    </row>
    <row r="13" customFormat="false" ht="15" hidden="false" customHeight="false" outlineLevel="0" collapsed="false">
      <c r="A13" s="6" t="s">
        <v>12</v>
      </c>
      <c r="B13" s="7" t="n">
        <f aca="false">SUM(Cobros!$G$4:$G$303)</f>
        <v>0</v>
      </c>
    </row>
    <row r="14" customFormat="false" ht="15" hidden="false" customHeight="false" outlineLevel="0" collapsed="false">
      <c r="A14" s="2" t="s">
        <v>13</v>
      </c>
    </row>
    <row r="16" customFormat="false" ht="15" hidden="false" customHeight="false" outlineLevel="0" collapsed="false">
      <c r="A16" s="4" t="s">
        <v>14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10" t="s">
        <v>15</v>
      </c>
      <c r="B17" s="10" t="s">
        <v>16</v>
      </c>
      <c r="D17" s="10" t="s">
        <v>17</v>
      </c>
      <c r="E17" s="10" t="s">
        <v>18</v>
      </c>
      <c r="F17" s="10" t="s">
        <v>19</v>
      </c>
      <c r="G17" s="10" t="s">
        <v>20</v>
      </c>
    </row>
    <row r="18" customFormat="false" ht="15" hidden="false" customHeight="false" outlineLevel="0" collapsed="false">
      <c r="A18" s="6" t="s">
        <v>21</v>
      </c>
      <c r="B18" s="11" t="n">
        <f aca="false">$B$3</f>
        <v>2026</v>
      </c>
      <c r="D18" s="12" t="n">
        <f aca="false">SUMIFS(Movimientos!$H$4:$H$303,Movimientos!$B$4:$B$303,$A18,Movimientos!$C$4:$C$303,"DO (cargas)",Movimientos!$A$4:$A$303,$B18)</f>
        <v>0</v>
      </c>
      <c r="E18" s="12" t="n">
        <f aca="false">SUMIFS(Movimientos!$H$4:$H$303,Movimientos!$B$4:$B$303,$A18,Movimientos!$C$4:$C$303,"Honorarios",Movimientos!$A$4:$A$303,$B18)</f>
        <v>0</v>
      </c>
      <c r="F18" s="12" t="n">
        <f aca="false">SUMIFS(Movimientos!$H$4:$H$303,Movimientos!$B$4:$B$303,$A18,Movimientos!$C$4:$C$303,"Otros",Movimientos!$A$4:$A$303,$B18)</f>
        <v>0</v>
      </c>
      <c r="G18" s="13" t="n">
        <f aca="false">SUM(D18:F18)</f>
        <v>0</v>
      </c>
    </row>
    <row r="19" customFormat="false" ht="15" hidden="false" customHeight="false" outlineLevel="0" collapsed="false">
      <c r="A19" s="6" t="s">
        <v>22</v>
      </c>
      <c r="B19" s="11" t="n">
        <f aca="false">$B$3</f>
        <v>2026</v>
      </c>
      <c r="D19" s="12" t="n">
        <f aca="false">SUMIFS(Movimientos!$H$4:$H$303,Movimientos!$B$4:$B$303,$A19,Movimientos!$C$4:$C$303,"DO (cargas)",Movimientos!$A$4:$A$303,$B19)</f>
        <v>0</v>
      </c>
      <c r="E19" s="12" t="n">
        <f aca="false">SUMIFS(Movimientos!$H$4:$H$303,Movimientos!$B$4:$B$303,$A19,Movimientos!$C$4:$C$303,"Honorarios",Movimientos!$A$4:$A$303,$B19)</f>
        <v>0</v>
      </c>
      <c r="F19" s="12" t="n">
        <f aca="false">SUMIFS(Movimientos!$H$4:$H$303,Movimientos!$B$4:$B$303,$A19,Movimientos!$C$4:$C$303,"Otros",Movimientos!$A$4:$A$303,$B19)</f>
        <v>0</v>
      </c>
      <c r="G19" s="13" t="n">
        <f aca="false">SUM(D19:F19)</f>
        <v>0</v>
      </c>
    </row>
    <row r="20" customFormat="false" ht="15" hidden="false" customHeight="false" outlineLevel="0" collapsed="false">
      <c r="A20" s="6" t="s">
        <v>23</v>
      </c>
      <c r="B20" s="11" t="n">
        <f aca="false">$B$3</f>
        <v>2026</v>
      </c>
      <c r="D20" s="12" t="n">
        <f aca="false">SUMIFS(Movimientos!$H$4:$H$303,Movimientos!$B$4:$B$303,$A20,Movimientos!$C$4:$C$303,"DO (cargas)",Movimientos!$A$4:$A$303,$B20)</f>
        <v>0</v>
      </c>
      <c r="E20" s="12" t="n">
        <f aca="false">SUMIFS(Movimientos!$H$4:$H$303,Movimientos!$B$4:$B$303,$A20,Movimientos!$C$4:$C$303,"Honorarios",Movimientos!$A$4:$A$303,$B20)</f>
        <v>0</v>
      </c>
      <c r="F20" s="12" t="n">
        <f aca="false">SUMIFS(Movimientos!$H$4:$H$303,Movimientos!$B$4:$B$303,$A20,Movimientos!$C$4:$C$303,"Otros",Movimientos!$A$4:$A$303,$B20)</f>
        <v>0</v>
      </c>
      <c r="G20" s="13" t="n">
        <f aca="false">SUM(D20:F20)</f>
        <v>0</v>
      </c>
    </row>
    <row r="21" customFormat="false" ht="15" hidden="false" customHeight="false" outlineLevel="0" collapsed="false">
      <c r="A21" s="6" t="s">
        <v>24</v>
      </c>
      <c r="B21" s="11" t="n">
        <f aca="false">$B$3</f>
        <v>2026</v>
      </c>
      <c r="D21" s="12" t="n">
        <f aca="false">SUMIFS(Movimientos!$H$4:$H$303,Movimientos!$B$4:$B$303,$A21,Movimientos!$C$4:$C$303,"DO (cargas)",Movimientos!$A$4:$A$303,$B21)</f>
        <v>0</v>
      </c>
      <c r="E21" s="12" t="n">
        <f aca="false">SUMIFS(Movimientos!$H$4:$H$303,Movimientos!$B$4:$B$303,$A21,Movimientos!$C$4:$C$303,"Honorarios",Movimientos!$A$4:$A$303,$B21)</f>
        <v>0</v>
      </c>
      <c r="F21" s="12" t="n">
        <f aca="false">SUMIFS(Movimientos!$H$4:$H$303,Movimientos!$B$4:$B$303,$A21,Movimientos!$C$4:$C$303,"Otros",Movimientos!$A$4:$A$303,$B21)</f>
        <v>0</v>
      </c>
      <c r="G21" s="13" t="n">
        <f aca="false">SUM(D21:F21)</f>
        <v>0</v>
      </c>
    </row>
    <row r="22" customFormat="false" ht="15" hidden="false" customHeight="false" outlineLevel="0" collapsed="false">
      <c r="A22" s="6" t="s">
        <v>25</v>
      </c>
      <c r="B22" s="11" t="n">
        <f aca="false">$B$3</f>
        <v>2026</v>
      </c>
      <c r="D22" s="12" t="n">
        <f aca="false">SUMIFS(Movimientos!$H$4:$H$303,Movimientos!$B$4:$B$303,$A22,Movimientos!$C$4:$C$303,"DO (cargas)",Movimientos!$A$4:$A$303,$B22)</f>
        <v>0</v>
      </c>
      <c r="E22" s="12" t="n">
        <f aca="false">SUMIFS(Movimientos!$H$4:$H$303,Movimientos!$B$4:$B$303,$A22,Movimientos!$C$4:$C$303,"Honorarios",Movimientos!$A$4:$A$303,$B22)</f>
        <v>0</v>
      </c>
      <c r="F22" s="12" t="n">
        <f aca="false">SUMIFS(Movimientos!$H$4:$H$303,Movimientos!$B$4:$B$303,$A22,Movimientos!$C$4:$C$303,"Otros",Movimientos!$A$4:$A$303,$B22)</f>
        <v>0</v>
      </c>
      <c r="G22" s="13" t="n">
        <f aca="false">SUM(D22:F22)</f>
        <v>0</v>
      </c>
    </row>
    <row r="23" customFormat="false" ht="15" hidden="false" customHeight="false" outlineLevel="0" collapsed="false">
      <c r="A23" s="6" t="s">
        <v>26</v>
      </c>
      <c r="B23" s="11" t="n">
        <f aca="false">$B$3</f>
        <v>2026</v>
      </c>
      <c r="D23" s="12" t="n">
        <f aca="false">SUMIFS(Movimientos!$H$4:$H$303,Movimientos!$B$4:$B$303,$A23,Movimientos!$C$4:$C$303,"DO (cargas)",Movimientos!$A$4:$A$303,$B23)</f>
        <v>2224506.35</v>
      </c>
      <c r="E23" s="12" t="n">
        <f aca="false">SUMIFS(Movimientos!$H$4:$H$303,Movimientos!$B$4:$B$303,$A23,Movimientos!$C$4:$C$303,"Honorarios",Movimientos!$A$4:$A$303,$B23)</f>
        <v>0</v>
      </c>
      <c r="F23" s="12" t="n">
        <f aca="false">SUMIFS(Movimientos!$H$4:$H$303,Movimientos!$B$4:$B$303,$A23,Movimientos!$C$4:$C$303,"Otros",Movimientos!$A$4:$A$303,$B23)</f>
        <v>0</v>
      </c>
      <c r="G23" s="13" t="n">
        <f aca="false">SUM(D23:F23)</f>
        <v>2224506.35</v>
      </c>
    </row>
    <row r="24" customFormat="false" ht="15" hidden="false" customHeight="false" outlineLevel="0" collapsed="false">
      <c r="A24" s="6" t="s">
        <v>27</v>
      </c>
      <c r="B24" s="11" t="n">
        <f aca="false">$B$3</f>
        <v>2026</v>
      </c>
      <c r="D24" s="12" t="n">
        <f aca="false">SUMIFS(Movimientos!$H$4:$H$303,Movimientos!$B$4:$B$303,$A24,Movimientos!$C$4:$C$303,"DO (cargas)",Movimientos!$A$4:$A$303,$B24)</f>
        <v>1379842.03</v>
      </c>
      <c r="E24" s="12" t="n">
        <f aca="false">SUMIFS(Movimientos!$H$4:$H$303,Movimientos!$B$4:$B$303,$A24,Movimientos!$C$4:$C$303,"Honorarios",Movimientos!$A$4:$A$303,$B24)</f>
        <v>0</v>
      </c>
      <c r="F24" s="12" t="n">
        <f aca="false">SUMIFS(Movimientos!$H$4:$H$303,Movimientos!$B$4:$B$303,$A24,Movimientos!$C$4:$C$303,"Otros",Movimientos!$A$4:$A$303,$B24)</f>
        <v>0</v>
      </c>
      <c r="G24" s="13" t="n">
        <f aca="false">SUM(D24:F24)</f>
        <v>1379842.03</v>
      </c>
    </row>
    <row r="25" customFormat="false" ht="15" hidden="false" customHeight="false" outlineLevel="0" collapsed="false">
      <c r="A25" s="6" t="s">
        <v>28</v>
      </c>
      <c r="B25" s="11" t="n">
        <f aca="false">$B$3</f>
        <v>2026</v>
      </c>
      <c r="D25" s="12" t="n">
        <f aca="false">SUMIFS(Movimientos!$H$4:$H$303,Movimientos!$B$4:$B$303,$A25,Movimientos!$C$4:$C$303,"DO (cargas)",Movimientos!$A$4:$A$303,$B25)</f>
        <v>1444352.03</v>
      </c>
      <c r="E25" s="12" t="n">
        <f aca="false">SUMIFS(Movimientos!$H$4:$H$303,Movimientos!$B$4:$B$303,$A25,Movimientos!$C$4:$C$303,"Honorarios",Movimientos!$A$4:$A$303,$B25)</f>
        <v>1500000</v>
      </c>
      <c r="F25" s="12" t="n">
        <f aca="false">SUMIFS(Movimientos!$H$4:$H$303,Movimientos!$B$4:$B$303,$A25,Movimientos!$C$4:$C$303,"Otros",Movimientos!$A$4:$A$303,$B25)</f>
        <v>0</v>
      </c>
      <c r="G25" s="13" t="n">
        <f aca="false">SUM(D25:F25)</f>
        <v>2944352.03</v>
      </c>
    </row>
    <row r="26" customFormat="false" ht="15" hidden="false" customHeight="false" outlineLevel="0" collapsed="false">
      <c r="A26" s="6" t="s">
        <v>29</v>
      </c>
      <c r="B26" s="11" t="n">
        <f aca="false">$B$3</f>
        <v>2026</v>
      </c>
      <c r="D26" s="12" t="n">
        <f aca="false">SUMIFS(Movimientos!$H$4:$H$303,Movimientos!$B$4:$B$303,$A26,Movimientos!$C$4:$C$303,"DO (cargas)",Movimientos!$A$4:$A$303,$B26)</f>
        <v>1223080.74</v>
      </c>
      <c r="E26" s="12" t="n">
        <f aca="false">SUMIFS(Movimientos!$H$4:$H$303,Movimientos!$B$4:$B$303,$A26,Movimientos!$C$4:$C$303,"Honorarios",Movimientos!$A$4:$A$303,$B26)</f>
        <v>1500000</v>
      </c>
      <c r="F26" s="12" t="n">
        <f aca="false">SUMIFS(Movimientos!$H$4:$H$303,Movimientos!$B$4:$B$303,$A26,Movimientos!$C$4:$C$303,"Otros",Movimientos!$A$4:$A$303,$B26)</f>
        <v>0</v>
      </c>
      <c r="G26" s="13" t="n">
        <f aca="false">SUM(D26:F26)</f>
        <v>2723080.74</v>
      </c>
    </row>
    <row r="27" customFormat="false" ht="15" hidden="false" customHeight="false" outlineLevel="0" collapsed="false">
      <c r="A27" s="6" t="s">
        <v>30</v>
      </c>
      <c r="B27" s="11" t="n">
        <f aca="false">$B$3</f>
        <v>2026</v>
      </c>
      <c r="D27" s="12" t="n">
        <f aca="false">SUMIFS(Movimientos!$H$4:$H$303,Movimientos!$B$4:$B$303,$A27,Movimientos!$C$4:$C$303,"DO (cargas)",Movimientos!$A$4:$A$303,$B27)</f>
        <v>0</v>
      </c>
      <c r="E27" s="12" t="n">
        <f aca="false">SUMIFS(Movimientos!$H$4:$H$303,Movimientos!$B$4:$B$303,$A27,Movimientos!$C$4:$C$303,"Honorarios",Movimientos!$A$4:$A$303,$B27)</f>
        <v>0</v>
      </c>
      <c r="F27" s="12" t="n">
        <f aca="false">SUMIFS(Movimientos!$H$4:$H$303,Movimientos!$B$4:$B$303,$A27,Movimientos!$C$4:$C$303,"Otros",Movimientos!$A$4:$A$303,$B27)</f>
        <v>0</v>
      </c>
      <c r="G27" s="13" t="n">
        <f aca="false">SUM(D27:F27)</f>
        <v>0</v>
      </c>
    </row>
    <row r="28" customFormat="false" ht="15" hidden="false" customHeight="false" outlineLevel="0" collapsed="false">
      <c r="A28" s="6" t="s">
        <v>31</v>
      </c>
      <c r="B28" s="11" t="n">
        <f aca="false">$B$3</f>
        <v>2026</v>
      </c>
      <c r="D28" s="12" t="n">
        <f aca="false">SUMIFS(Movimientos!$H$4:$H$303,Movimientos!$B$4:$B$303,$A28,Movimientos!$C$4:$C$303,"DO (cargas)",Movimientos!$A$4:$A$303,$B28)</f>
        <v>0</v>
      </c>
      <c r="E28" s="12" t="n">
        <f aca="false">SUMIFS(Movimientos!$H$4:$H$303,Movimientos!$B$4:$B$303,$A28,Movimientos!$C$4:$C$303,"Honorarios",Movimientos!$A$4:$A$303,$B28)</f>
        <v>0</v>
      </c>
      <c r="F28" s="12" t="n">
        <f aca="false">SUMIFS(Movimientos!$H$4:$H$303,Movimientos!$B$4:$B$303,$A28,Movimientos!$C$4:$C$303,"Otros",Movimientos!$A$4:$A$303,$B28)</f>
        <v>0</v>
      </c>
      <c r="G28" s="13" t="n">
        <f aca="false">SUM(D28:F28)</f>
        <v>0</v>
      </c>
    </row>
    <row r="29" customFormat="false" ht="15" hidden="false" customHeight="false" outlineLevel="0" collapsed="false">
      <c r="A29" s="6" t="s">
        <v>32</v>
      </c>
      <c r="B29" s="11" t="n">
        <f aca="false">$B$3</f>
        <v>2026</v>
      </c>
      <c r="D29" s="12" t="n">
        <f aca="false">SUMIFS(Movimientos!$H$4:$H$303,Movimientos!$B$4:$B$303,$A29,Movimientos!$C$4:$C$303,"DO (cargas)",Movimientos!$A$4:$A$303,$B29)</f>
        <v>0</v>
      </c>
      <c r="E29" s="12" t="n">
        <f aca="false">SUMIFS(Movimientos!$H$4:$H$303,Movimientos!$B$4:$B$303,$A29,Movimientos!$C$4:$C$303,"Honorarios",Movimientos!$A$4:$A$303,$B29)</f>
        <v>0</v>
      </c>
      <c r="F29" s="12" t="n">
        <f aca="false">SUMIFS(Movimientos!$H$4:$H$303,Movimientos!$B$4:$B$303,$A29,Movimientos!$C$4:$C$303,"Otros",Movimientos!$A$4:$A$303,$B29)</f>
        <v>0</v>
      </c>
      <c r="G29" s="13" t="n">
        <f aca="false">SUM(D29:F29)</f>
        <v>0</v>
      </c>
    </row>
    <row r="30" customFormat="false" ht="15" hidden="false" customHeight="false" outlineLevel="0" collapsed="false">
      <c r="A30" s="14" t="s">
        <v>33</v>
      </c>
      <c r="D30" s="15" t="n">
        <f aca="false">SUM(D18:D29)</f>
        <v>6271781.15</v>
      </c>
      <c r="E30" s="15" t="n">
        <f aca="false">SUM(E18:E29)</f>
        <v>3000000</v>
      </c>
      <c r="F30" s="15" t="n">
        <f aca="false">SUM(F18:F29)</f>
        <v>0</v>
      </c>
      <c r="G30" s="15" t="n">
        <f aca="false">SUM(G18:G29)</f>
        <v>9271781.15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8" min="6" style="0" width="1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24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30" hidden="false" customHeight="true" outlineLevel="0" collapsed="false">
      <c r="A3" s="16" t="s">
        <v>16</v>
      </c>
      <c r="B3" s="16" t="s">
        <v>15</v>
      </c>
      <c r="C3" s="16" t="s">
        <v>36</v>
      </c>
      <c r="D3" s="16" t="s">
        <v>37</v>
      </c>
      <c r="E3" s="16" t="s">
        <v>38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6" t="s">
        <v>44</v>
      </c>
      <c r="L3" s="16" t="s">
        <v>45</v>
      </c>
    </row>
    <row r="4" customFormat="false" ht="15" hidden="false" customHeight="false" outlineLevel="0" collapsed="false">
      <c r="A4" s="17" t="n">
        <v>2026</v>
      </c>
      <c r="B4" s="18" t="s">
        <v>26</v>
      </c>
      <c r="C4" s="18" t="s">
        <v>17</v>
      </c>
      <c r="D4" s="18" t="s">
        <v>46</v>
      </c>
      <c r="E4" s="18" t="n">
        <v>147</v>
      </c>
      <c r="F4" s="19" t="n">
        <v>1838435</v>
      </c>
      <c r="G4" s="19" t="n">
        <v>386071.35</v>
      </c>
      <c r="H4" s="15" t="n">
        <f aca="false">IF(AND(F4="",G4=""),"",N(F4)+N(G4))</f>
        <v>2224506.35</v>
      </c>
      <c r="I4" s="18" t="s">
        <v>47</v>
      </c>
      <c r="J4" s="18" t="s">
        <v>48</v>
      </c>
      <c r="K4" s="20" t="n">
        <v>46237</v>
      </c>
      <c r="L4" s="18" t="s">
        <v>49</v>
      </c>
    </row>
    <row r="5" customFormat="false" ht="15" hidden="false" customHeight="false" outlineLevel="0" collapsed="false">
      <c r="A5" s="17" t="n">
        <v>2026</v>
      </c>
      <c r="B5" s="18" t="s">
        <v>27</v>
      </c>
      <c r="C5" s="18" t="s">
        <v>17</v>
      </c>
      <c r="D5" s="18" t="s">
        <v>50</v>
      </c>
      <c r="E5" s="18"/>
      <c r="F5" s="19" t="n">
        <v>1379842.03</v>
      </c>
      <c r="G5" s="19"/>
      <c r="H5" s="15" t="n">
        <f aca="false">IF(AND(F5="",G5=""),"",N(F5)+N(G5))</f>
        <v>1379842.03</v>
      </c>
      <c r="I5" s="18" t="s">
        <v>51</v>
      </c>
      <c r="J5" s="18" t="s">
        <v>48</v>
      </c>
      <c r="K5" s="20" t="n">
        <v>46249</v>
      </c>
      <c r="L5" s="18"/>
    </row>
    <row r="6" customFormat="false" ht="15" hidden="false" customHeight="false" outlineLevel="0" collapsed="false">
      <c r="A6" s="17" t="n">
        <v>2026</v>
      </c>
      <c r="B6" s="18" t="s">
        <v>28</v>
      </c>
      <c r="C6" s="18" t="s">
        <v>17</v>
      </c>
      <c r="D6" s="18" t="s">
        <v>52</v>
      </c>
      <c r="E6" s="18"/>
      <c r="F6" s="19" t="n">
        <v>1444352.03</v>
      </c>
      <c r="G6" s="19"/>
      <c r="H6" s="15" t="n">
        <f aca="false">IF(AND(F6="",G6=""),"",N(F6)+N(G6))</f>
        <v>1444352.03</v>
      </c>
      <c r="I6" s="18" t="s">
        <v>51</v>
      </c>
      <c r="J6" s="18" t="s">
        <v>48</v>
      </c>
      <c r="K6" s="20" t="n">
        <v>46249</v>
      </c>
      <c r="L6" s="18"/>
    </row>
    <row r="7" customFormat="false" ht="15" hidden="false" customHeight="false" outlineLevel="0" collapsed="false">
      <c r="A7" s="17" t="n">
        <v>2026</v>
      </c>
      <c r="B7" s="18" t="s">
        <v>28</v>
      </c>
      <c r="C7" s="18" t="s">
        <v>18</v>
      </c>
      <c r="D7" s="18" t="s">
        <v>50</v>
      </c>
      <c r="E7" s="18"/>
      <c r="F7" s="19" t="n">
        <v>1500000</v>
      </c>
      <c r="G7" s="19"/>
      <c r="H7" s="15" t="n">
        <f aca="false">IF(AND(F7="",G7=""),"",N(F7)+N(G7))</f>
        <v>1500000</v>
      </c>
      <c r="I7" s="18" t="s">
        <v>51</v>
      </c>
      <c r="J7" s="18" t="s">
        <v>48</v>
      </c>
      <c r="K7" s="20" t="n">
        <v>46249</v>
      </c>
      <c r="L7" s="18"/>
    </row>
    <row r="8" customFormat="false" ht="15" hidden="false" customHeight="false" outlineLevel="0" collapsed="false">
      <c r="A8" s="17" t="n">
        <v>2026</v>
      </c>
      <c r="B8" s="18" t="s">
        <v>29</v>
      </c>
      <c r="C8" s="18" t="s">
        <v>17</v>
      </c>
      <c r="D8" s="18" t="s">
        <v>53</v>
      </c>
      <c r="E8" s="18"/>
      <c r="F8" s="19" t="n">
        <v>1223080.74</v>
      </c>
      <c r="G8" s="19"/>
      <c r="H8" s="15" t="n">
        <f aca="false">IF(AND(F8="",G8=""),"",N(F8)+N(G8))</f>
        <v>1223080.74</v>
      </c>
      <c r="I8" s="18"/>
      <c r="J8" s="18" t="s">
        <v>54</v>
      </c>
      <c r="K8" s="20"/>
      <c r="L8" s="18"/>
    </row>
    <row r="9" customFormat="false" ht="15" hidden="false" customHeight="false" outlineLevel="0" collapsed="false">
      <c r="A9" s="17" t="n">
        <v>2026</v>
      </c>
      <c r="B9" s="18" t="s">
        <v>29</v>
      </c>
      <c r="C9" s="18" t="s">
        <v>18</v>
      </c>
      <c r="D9" s="18" t="s">
        <v>52</v>
      </c>
      <c r="E9" s="18"/>
      <c r="F9" s="19" t="n">
        <v>1500000</v>
      </c>
      <c r="G9" s="19"/>
      <c r="H9" s="15" t="n">
        <f aca="false">IF(AND(F9="",G9=""),"",N(F9)+N(G9))</f>
        <v>1500000</v>
      </c>
      <c r="I9" s="18" t="s">
        <v>51</v>
      </c>
      <c r="J9" s="18" t="s">
        <v>48</v>
      </c>
      <c r="K9" s="20" t="n">
        <v>46249</v>
      </c>
      <c r="L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9"/>
      <c r="H10" s="15" t="str">
        <f aca="false">IF(AND(F10="",G10=""),"",N(F10)+N(G10))</f>
        <v/>
      </c>
      <c r="I10" s="18"/>
      <c r="J10" s="18"/>
      <c r="K10" s="20"/>
      <c r="L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9"/>
      <c r="H11" s="15" t="str">
        <f aca="false">IF(AND(F11="",G11=""),"",N(F11)+N(G11))</f>
        <v/>
      </c>
      <c r="I11" s="18"/>
      <c r="J11" s="18"/>
      <c r="K11" s="20"/>
      <c r="L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9"/>
      <c r="H12" s="15" t="str">
        <f aca="false">IF(AND(F12="",G12=""),"",N(F12)+N(G12))</f>
        <v/>
      </c>
      <c r="I12" s="18"/>
      <c r="J12" s="18"/>
      <c r="K12" s="20"/>
      <c r="L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9"/>
      <c r="H13" s="15" t="str">
        <f aca="false">IF(AND(F13="",G13=""),"",N(F13)+N(G13))</f>
        <v/>
      </c>
      <c r="I13" s="18"/>
      <c r="J13" s="18"/>
      <c r="K13" s="20"/>
      <c r="L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9"/>
      <c r="H14" s="15" t="str">
        <f aca="false">IF(AND(F14="",G14=""),"",N(F14)+N(G14))</f>
        <v/>
      </c>
      <c r="I14" s="18"/>
      <c r="J14" s="18"/>
      <c r="K14" s="20"/>
      <c r="L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9"/>
      <c r="H15" s="15" t="str">
        <f aca="false">IF(AND(F15="",G15=""),"",N(F15)+N(G15))</f>
        <v/>
      </c>
      <c r="I15" s="18"/>
      <c r="J15" s="18"/>
      <c r="K15" s="20"/>
      <c r="L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9"/>
      <c r="H16" s="15" t="str">
        <f aca="false">IF(AND(F16="",G16=""),"",N(F16)+N(G16))</f>
        <v/>
      </c>
      <c r="I16" s="18"/>
      <c r="J16" s="18"/>
      <c r="K16" s="20"/>
      <c r="L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9"/>
      <c r="H17" s="15" t="str">
        <f aca="false">IF(AND(F17="",G17=""),"",N(F17)+N(G17))</f>
        <v/>
      </c>
      <c r="I17" s="18"/>
      <c r="J17" s="18"/>
      <c r="K17" s="20"/>
      <c r="L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9"/>
      <c r="H18" s="15" t="str">
        <f aca="false">IF(AND(F18="",G18=""),"",N(F18)+N(G18))</f>
        <v/>
      </c>
      <c r="I18" s="18"/>
      <c r="J18" s="18"/>
      <c r="K18" s="20"/>
      <c r="L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9"/>
      <c r="H19" s="15" t="str">
        <f aca="false">IF(AND(F19="",G19=""),"",N(F19)+N(G19))</f>
        <v/>
      </c>
      <c r="I19" s="18"/>
      <c r="J19" s="18"/>
      <c r="K19" s="20"/>
      <c r="L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9"/>
      <c r="H20" s="15" t="str">
        <f aca="false">IF(AND(F20="",G20=""),"",N(F20)+N(G20))</f>
        <v/>
      </c>
      <c r="I20" s="18"/>
      <c r="J20" s="18"/>
      <c r="K20" s="20"/>
      <c r="L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9"/>
      <c r="H21" s="15" t="str">
        <f aca="false">IF(AND(F21="",G21=""),"",N(F21)+N(G21))</f>
        <v/>
      </c>
      <c r="I21" s="18"/>
      <c r="J21" s="18"/>
      <c r="K21" s="20"/>
      <c r="L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9"/>
      <c r="H22" s="15" t="str">
        <f aca="false">IF(AND(F22="",G22=""),"",N(F22)+N(G22))</f>
        <v/>
      </c>
      <c r="I22" s="18"/>
      <c r="J22" s="18"/>
      <c r="K22" s="20"/>
      <c r="L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9"/>
      <c r="H23" s="15" t="str">
        <f aca="false">IF(AND(F23="",G23=""),"",N(F23)+N(G23))</f>
        <v/>
      </c>
      <c r="I23" s="18"/>
      <c r="J23" s="18"/>
      <c r="K23" s="20"/>
      <c r="L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9"/>
      <c r="H24" s="15" t="str">
        <f aca="false">IF(AND(F24="",G24=""),"",N(F24)+N(G24))</f>
        <v/>
      </c>
      <c r="I24" s="18"/>
      <c r="J24" s="18"/>
      <c r="K24" s="20"/>
      <c r="L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9"/>
      <c r="H25" s="15" t="str">
        <f aca="false">IF(AND(F25="",G25=""),"",N(F25)+N(G25))</f>
        <v/>
      </c>
      <c r="I25" s="18"/>
      <c r="J25" s="18"/>
      <c r="K25" s="20"/>
      <c r="L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9"/>
      <c r="H26" s="15" t="str">
        <f aca="false">IF(AND(F26="",G26=""),"",N(F26)+N(G26))</f>
        <v/>
      </c>
      <c r="I26" s="18"/>
      <c r="J26" s="18"/>
      <c r="K26" s="20"/>
      <c r="L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9"/>
      <c r="H27" s="15" t="str">
        <f aca="false">IF(AND(F27="",G27=""),"",N(F27)+N(G27))</f>
        <v/>
      </c>
      <c r="I27" s="18"/>
      <c r="J27" s="18"/>
      <c r="K27" s="20"/>
      <c r="L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9"/>
      <c r="H28" s="15" t="str">
        <f aca="false">IF(AND(F28="",G28=""),"",N(F28)+N(G28))</f>
        <v/>
      </c>
      <c r="I28" s="18"/>
      <c r="J28" s="18"/>
      <c r="K28" s="20"/>
      <c r="L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9"/>
      <c r="H29" s="15" t="str">
        <f aca="false">IF(AND(F29="",G29=""),"",N(F29)+N(G29))</f>
        <v/>
      </c>
      <c r="I29" s="18"/>
      <c r="J29" s="18"/>
      <c r="K29" s="20"/>
      <c r="L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9"/>
      <c r="H30" s="15" t="str">
        <f aca="false">IF(AND(F30="",G30=""),"",N(F30)+N(G30))</f>
        <v/>
      </c>
      <c r="I30" s="18"/>
      <c r="J30" s="18"/>
      <c r="K30" s="20"/>
      <c r="L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9"/>
      <c r="H31" s="15" t="str">
        <f aca="false">IF(AND(F31="",G31=""),"",N(F31)+N(G31))</f>
        <v/>
      </c>
      <c r="I31" s="18"/>
      <c r="J31" s="18"/>
      <c r="K31" s="20"/>
      <c r="L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9"/>
      <c r="H32" s="15" t="str">
        <f aca="false">IF(AND(F32="",G32=""),"",N(F32)+N(G32))</f>
        <v/>
      </c>
      <c r="I32" s="18"/>
      <c r="J32" s="18"/>
      <c r="K32" s="20"/>
      <c r="L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9"/>
      <c r="H33" s="15" t="str">
        <f aca="false">IF(AND(F33="",G33=""),"",N(F33)+N(G33))</f>
        <v/>
      </c>
      <c r="I33" s="18"/>
      <c r="J33" s="18"/>
      <c r="K33" s="20"/>
      <c r="L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9"/>
      <c r="H34" s="15" t="str">
        <f aca="false">IF(AND(F34="",G34=""),"",N(F34)+N(G34))</f>
        <v/>
      </c>
      <c r="I34" s="18"/>
      <c r="J34" s="18"/>
      <c r="K34" s="20"/>
      <c r="L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9"/>
      <c r="H35" s="15" t="str">
        <f aca="false">IF(AND(F35="",G35=""),"",N(F35)+N(G35))</f>
        <v/>
      </c>
      <c r="I35" s="18"/>
      <c r="J35" s="18"/>
      <c r="K35" s="20"/>
      <c r="L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9"/>
      <c r="H36" s="15" t="str">
        <f aca="false">IF(AND(F36="",G36=""),"",N(F36)+N(G36))</f>
        <v/>
      </c>
      <c r="I36" s="18"/>
      <c r="J36" s="18"/>
      <c r="K36" s="20"/>
      <c r="L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9"/>
      <c r="H37" s="15" t="str">
        <f aca="false">IF(AND(F37="",G37=""),"",N(F37)+N(G37))</f>
        <v/>
      </c>
      <c r="I37" s="18"/>
      <c r="J37" s="18"/>
      <c r="K37" s="20"/>
      <c r="L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9"/>
      <c r="H38" s="15" t="str">
        <f aca="false">IF(AND(F38="",G38=""),"",N(F38)+N(G38))</f>
        <v/>
      </c>
      <c r="I38" s="18"/>
      <c r="J38" s="18"/>
      <c r="K38" s="20"/>
      <c r="L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9"/>
      <c r="H39" s="15" t="str">
        <f aca="false">IF(AND(F39="",G39=""),"",N(F39)+N(G39))</f>
        <v/>
      </c>
      <c r="I39" s="18"/>
      <c r="J39" s="18"/>
      <c r="K39" s="20"/>
      <c r="L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9"/>
      <c r="H40" s="15" t="str">
        <f aca="false">IF(AND(F40="",G40=""),"",N(F40)+N(G40))</f>
        <v/>
      </c>
      <c r="I40" s="18"/>
      <c r="J40" s="18"/>
      <c r="K40" s="20"/>
      <c r="L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9"/>
      <c r="H41" s="15" t="str">
        <f aca="false">IF(AND(F41="",G41=""),"",N(F41)+N(G41))</f>
        <v/>
      </c>
      <c r="I41" s="18"/>
      <c r="J41" s="18"/>
      <c r="K41" s="20"/>
      <c r="L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9"/>
      <c r="H42" s="15" t="str">
        <f aca="false">IF(AND(F42="",G42=""),"",N(F42)+N(G42))</f>
        <v/>
      </c>
      <c r="I42" s="18"/>
      <c r="J42" s="18"/>
      <c r="K42" s="20"/>
      <c r="L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9"/>
      <c r="H43" s="15" t="str">
        <f aca="false">IF(AND(F43="",G43=""),"",N(F43)+N(G43))</f>
        <v/>
      </c>
      <c r="I43" s="18"/>
      <c r="J43" s="18"/>
      <c r="K43" s="20"/>
      <c r="L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9"/>
      <c r="H44" s="15" t="str">
        <f aca="false">IF(AND(F44="",G44=""),"",N(F44)+N(G44))</f>
        <v/>
      </c>
      <c r="I44" s="18"/>
      <c r="J44" s="18"/>
      <c r="K44" s="20"/>
      <c r="L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9"/>
      <c r="H45" s="15" t="str">
        <f aca="false">IF(AND(F45="",G45=""),"",N(F45)+N(G45))</f>
        <v/>
      </c>
      <c r="I45" s="18"/>
      <c r="J45" s="18"/>
      <c r="K45" s="20"/>
      <c r="L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9"/>
      <c r="H46" s="15" t="str">
        <f aca="false">IF(AND(F46="",G46=""),"",N(F46)+N(G46))</f>
        <v/>
      </c>
      <c r="I46" s="18"/>
      <c r="J46" s="18"/>
      <c r="K46" s="20"/>
      <c r="L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9"/>
      <c r="H47" s="15" t="str">
        <f aca="false">IF(AND(F47="",G47=""),"",N(F47)+N(G47))</f>
        <v/>
      </c>
      <c r="I47" s="18"/>
      <c r="J47" s="18"/>
      <c r="K47" s="20"/>
      <c r="L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9"/>
      <c r="H48" s="15" t="str">
        <f aca="false">IF(AND(F48="",G48=""),"",N(F48)+N(G48))</f>
        <v/>
      </c>
      <c r="I48" s="18"/>
      <c r="J48" s="18"/>
      <c r="K48" s="20"/>
      <c r="L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9"/>
      <c r="H49" s="15" t="str">
        <f aca="false">IF(AND(F49="",G49=""),"",N(F49)+N(G49))</f>
        <v/>
      </c>
      <c r="I49" s="18"/>
      <c r="J49" s="18"/>
      <c r="K49" s="20"/>
      <c r="L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9"/>
      <c r="H50" s="15" t="str">
        <f aca="false">IF(AND(F50="",G50=""),"",N(F50)+N(G50))</f>
        <v/>
      </c>
      <c r="I50" s="18"/>
      <c r="J50" s="18"/>
      <c r="K50" s="20"/>
      <c r="L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9"/>
      <c r="H51" s="15" t="str">
        <f aca="false">IF(AND(F51="",G51=""),"",N(F51)+N(G51))</f>
        <v/>
      </c>
      <c r="I51" s="18"/>
      <c r="J51" s="18"/>
      <c r="K51" s="20"/>
      <c r="L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9"/>
      <c r="H52" s="15" t="str">
        <f aca="false">IF(AND(F52="",G52=""),"",N(F52)+N(G52))</f>
        <v/>
      </c>
      <c r="I52" s="18"/>
      <c r="J52" s="18"/>
      <c r="K52" s="20"/>
      <c r="L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9"/>
      <c r="H53" s="15" t="str">
        <f aca="false">IF(AND(F53="",G53=""),"",N(F53)+N(G53))</f>
        <v/>
      </c>
      <c r="I53" s="18"/>
      <c r="J53" s="18"/>
      <c r="K53" s="20"/>
      <c r="L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9"/>
      <c r="H54" s="15" t="str">
        <f aca="false">IF(AND(F54="",G54=""),"",N(F54)+N(G54))</f>
        <v/>
      </c>
      <c r="I54" s="18"/>
      <c r="J54" s="18"/>
      <c r="K54" s="20"/>
      <c r="L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9"/>
      <c r="H55" s="15" t="str">
        <f aca="false">IF(AND(F55="",G55=""),"",N(F55)+N(G55))</f>
        <v/>
      </c>
      <c r="I55" s="18"/>
      <c r="J55" s="18"/>
      <c r="K55" s="20"/>
      <c r="L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9"/>
      <c r="H56" s="15" t="str">
        <f aca="false">IF(AND(F56="",G56=""),"",N(F56)+N(G56))</f>
        <v/>
      </c>
      <c r="I56" s="18"/>
      <c r="J56" s="18"/>
      <c r="K56" s="20"/>
      <c r="L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9"/>
      <c r="H57" s="15" t="str">
        <f aca="false">IF(AND(F57="",G57=""),"",N(F57)+N(G57))</f>
        <v/>
      </c>
      <c r="I57" s="18"/>
      <c r="J57" s="18"/>
      <c r="K57" s="20"/>
      <c r="L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9"/>
      <c r="H58" s="15" t="str">
        <f aca="false">IF(AND(F58="",G58=""),"",N(F58)+N(G58))</f>
        <v/>
      </c>
      <c r="I58" s="18"/>
      <c r="J58" s="18"/>
      <c r="K58" s="20"/>
      <c r="L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9"/>
      <c r="H59" s="15" t="str">
        <f aca="false">IF(AND(F59="",G59=""),"",N(F59)+N(G59))</f>
        <v/>
      </c>
      <c r="I59" s="18"/>
      <c r="J59" s="18"/>
      <c r="K59" s="20"/>
      <c r="L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9"/>
      <c r="H60" s="15" t="str">
        <f aca="false">IF(AND(F60="",G60=""),"",N(F60)+N(G60))</f>
        <v/>
      </c>
      <c r="I60" s="18"/>
      <c r="J60" s="18"/>
      <c r="K60" s="20"/>
      <c r="L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9"/>
      <c r="H61" s="15" t="str">
        <f aca="false">IF(AND(F61="",G61=""),"",N(F61)+N(G61))</f>
        <v/>
      </c>
      <c r="I61" s="18"/>
      <c r="J61" s="18"/>
      <c r="K61" s="20"/>
      <c r="L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9"/>
      <c r="H62" s="15" t="str">
        <f aca="false">IF(AND(F62="",G62=""),"",N(F62)+N(G62))</f>
        <v/>
      </c>
      <c r="I62" s="18"/>
      <c r="J62" s="18"/>
      <c r="K62" s="20"/>
      <c r="L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9"/>
      <c r="H63" s="15" t="str">
        <f aca="false">IF(AND(F63="",G63=""),"",N(F63)+N(G63))</f>
        <v/>
      </c>
      <c r="I63" s="18"/>
      <c r="J63" s="18"/>
      <c r="K63" s="20"/>
      <c r="L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9"/>
      <c r="H64" s="15" t="str">
        <f aca="false">IF(AND(F64="",G64=""),"",N(F64)+N(G64))</f>
        <v/>
      </c>
      <c r="I64" s="18"/>
      <c r="J64" s="18"/>
      <c r="K64" s="20"/>
      <c r="L64" s="18"/>
    </row>
    <row r="65" customFormat="false" ht="15" hidden="false" customHeight="false" outlineLevel="0" collapsed="false">
      <c r="A65" s="17"/>
      <c r="B65" s="18"/>
      <c r="C65" s="18"/>
      <c r="D65" s="18"/>
      <c r="E65" s="18"/>
      <c r="F65" s="19"/>
      <c r="G65" s="19"/>
      <c r="H65" s="15" t="str">
        <f aca="false">IF(AND(F65="",G65=""),"",N(F65)+N(G65))</f>
        <v/>
      </c>
      <c r="I65" s="18"/>
      <c r="J65" s="18"/>
      <c r="K65" s="20"/>
      <c r="L65" s="18"/>
    </row>
    <row r="66" customFormat="false" ht="15" hidden="false" customHeight="false" outlineLevel="0" collapsed="false">
      <c r="A66" s="17"/>
      <c r="B66" s="18"/>
      <c r="C66" s="18"/>
      <c r="D66" s="18"/>
      <c r="E66" s="18"/>
      <c r="F66" s="19"/>
      <c r="G66" s="19"/>
      <c r="H66" s="15" t="str">
        <f aca="false">IF(AND(F66="",G66=""),"",N(F66)+N(G66))</f>
        <v/>
      </c>
      <c r="I66" s="18"/>
      <c r="J66" s="18"/>
      <c r="K66" s="20"/>
      <c r="L66" s="18"/>
    </row>
    <row r="67" customFormat="false" ht="15" hidden="false" customHeight="false" outlineLevel="0" collapsed="false">
      <c r="A67" s="17"/>
      <c r="B67" s="18"/>
      <c r="C67" s="18"/>
      <c r="D67" s="18"/>
      <c r="E67" s="18"/>
      <c r="F67" s="19"/>
      <c r="G67" s="19"/>
      <c r="H67" s="15" t="str">
        <f aca="false">IF(AND(F67="",G67=""),"",N(F67)+N(G67))</f>
        <v/>
      </c>
      <c r="I67" s="18"/>
      <c r="J67" s="18"/>
      <c r="K67" s="20"/>
      <c r="L67" s="18"/>
    </row>
    <row r="68" customFormat="false" ht="15" hidden="false" customHeight="false" outlineLevel="0" collapsed="false">
      <c r="A68" s="17"/>
      <c r="B68" s="18"/>
      <c r="C68" s="18"/>
      <c r="D68" s="18"/>
      <c r="E68" s="18"/>
      <c r="F68" s="19"/>
      <c r="G68" s="19"/>
      <c r="H68" s="15" t="str">
        <f aca="false">IF(AND(F68="",G68=""),"",N(F68)+N(G68))</f>
        <v/>
      </c>
      <c r="I68" s="18"/>
      <c r="J68" s="18"/>
      <c r="K68" s="20"/>
      <c r="L68" s="18"/>
    </row>
    <row r="69" customFormat="false" ht="15" hidden="false" customHeight="false" outlineLevel="0" collapsed="false">
      <c r="A69" s="17"/>
      <c r="B69" s="18"/>
      <c r="C69" s="18"/>
      <c r="D69" s="18"/>
      <c r="E69" s="18"/>
      <c r="F69" s="19"/>
      <c r="G69" s="19"/>
      <c r="H69" s="15" t="str">
        <f aca="false">IF(AND(F69="",G69=""),"",N(F69)+N(G69))</f>
        <v/>
      </c>
      <c r="I69" s="18"/>
      <c r="J69" s="18"/>
      <c r="K69" s="20"/>
      <c r="L69" s="18"/>
    </row>
    <row r="70" customFormat="false" ht="15" hidden="false" customHeight="false" outlineLevel="0" collapsed="false">
      <c r="A70" s="17"/>
      <c r="B70" s="18"/>
      <c r="C70" s="18"/>
      <c r="D70" s="18"/>
      <c r="E70" s="18"/>
      <c r="F70" s="19"/>
      <c r="G70" s="19"/>
      <c r="H70" s="15" t="str">
        <f aca="false">IF(AND(F70="",G70=""),"",N(F70)+N(G70))</f>
        <v/>
      </c>
      <c r="I70" s="18"/>
      <c r="J70" s="18"/>
      <c r="K70" s="20"/>
      <c r="L70" s="18"/>
    </row>
    <row r="71" customFormat="false" ht="15" hidden="false" customHeight="false" outlineLevel="0" collapsed="false">
      <c r="A71" s="17"/>
      <c r="B71" s="18"/>
      <c r="C71" s="18"/>
      <c r="D71" s="18"/>
      <c r="E71" s="18"/>
      <c r="F71" s="19"/>
      <c r="G71" s="19"/>
      <c r="H71" s="15" t="str">
        <f aca="false">IF(AND(F71="",G71=""),"",N(F71)+N(G71))</f>
        <v/>
      </c>
      <c r="I71" s="18"/>
      <c r="J71" s="18"/>
      <c r="K71" s="20"/>
      <c r="L71" s="18"/>
    </row>
    <row r="72" customFormat="false" ht="15" hidden="false" customHeight="false" outlineLevel="0" collapsed="false">
      <c r="A72" s="17"/>
      <c r="B72" s="18"/>
      <c r="C72" s="18"/>
      <c r="D72" s="18"/>
      <c r="E72" s="18"/>
      <c r="F72" s="19"/>
      <c r="G72" s="19"/>
      <c r="H72" s="15" t="str">
        <f aca="false">IF(AND(F72="",G72=""),"",N(F72)+N(G72))</f>
        <v/>
      </c>
      <c r="I72" s="18"/>
      <c r="J72" s="18"/>
      <c r="K72" s="20"/>
      <c r="L72" s="18"/>
    </row>
    <row r="73" customFormat="false" ht="15" hidden="false" customHeight="false" outlineLevel="0" collapsed="false">
      <c r="A73" s="17"/>
      <c r="B73" s="18"/>
      <c r="C73" s="18"/>
      <c r="D73" s="18"/>
      <c r="E73" s="18"/>
      <c r="F73" s="19"/>
      <c r="G73" s="19"/>
      <c r="H73" s="15" t="str">
        <f aca="false">IF(AND(F73="",G73=""),"",N(F73)+N(G73))</f>
        <v/>
      </c>
      <c r="I73" s="18"/>
      <c r="J73" s="18"/>
      <c r="K73" s="20"/>
      <c r="L73" s="18"/>
    </row>
    <row r="74" customFormat="false" ht="15" hidden="false" customHeight="false" outlineLevel="0" collapsed="false">
      <c r="A74" s="17"/>
      <c r="B74" s="18"/>
      <c r="C74" s="18"/>
      <c r="D74" s="18"/>
      <c r="E74" s="18"/>
      <c r="F74" s="19"/>
      <c r="G74" s="19"/>
      <c r="H74" s="15" t="str">
        <f aca="false">IF(AND(F74="",G74=""),"",N(F74)+N(G74))</f>
        <v/>
      </c>
      <c r="I74" s="18"/>
      <c r="J74" s="18"/>
      <c r="K74" s="20"/>
      <c r="L74" s="18"/>
    </row>
    <row r="75" customFormat="false" ht="15" hidden="false" customHeight="false" outlineLevel="0" collapsed="false">
      <c r="A75" s="17"/>
      <c r="B75" s="18"/>
      <c r="C75" s="18"/>
      <c r="D75" s="18"/>
      <c r="E75" s="18"/>
      <c r="F75" s="19"/>
      <c r="G75" s="19"/>
      <c r="H75" s="15" t="str">
        <f aca="false">IF(AND(F75="",G75=""),"",N(F75)+N(G75))</f>
        <v/>
      </c>
      <c r="I75" s="18"/>
      <c r="J75" s="18"/>
      <c r="K75" s="20"/>
      <c r="L75" s="18"/>
    </row>
    <row r="76" customFormat="false" ht="15" hidden="false" customHeight="false" outlineLevel="0" collapsed="false">
      <c r="A76" s="17"/>
      <c r="B76" s="18"/>
      <c r="C76" s="18"/>
      <c r="D76" s="18"/>
      <c r="E76" s="18"/>
      <c r="F76" s="19"/>
      <c r="G76" s="19"/>
      <c r="H76" s="15" t="str">
        <f aca="false">IF(AND(F76="",G76=""),"",N(F76)+N(G76))</f>
        <v/>
      </c>
      <c r="I76" s="18"/>
      <c r="J76" s="18"/>
      <c r="K76" s="20"/>
      <c r="L76" s="18"/>
    </row>
    <row r="77" customFormat="false" ht="15" hidden="false" customHeight="false" outlineLevel="0" collapsed="false">
      <c r="A77" s="17"/>
      <c r="B77" s="18"/>
      <c r="C77" s="18"/>
      <c r="D77" s="18"/>
      <c r="E77" s="18"/>
      <c r="F77" s="19"/>
      <c r="G77" s="19"/>
      <c r="H77" s="15" t="str">
        <f aca="false">IF(AND(F77="",G77=""),"",N(F77)+N(G77))</f>
        <v/>
      </c>
      <c r="I77" s="18"/>
      <c r="J77" s="18"/>
      <c r="K77" s="20"/>
      <c r="L77" s="18"/>
    </row>
    <row r="78" customFormat="false" ht="15" hidden="false" customHeight="false" outlineLevel="0" collapsed="false">
      <c r="A78" s="17"/>
      <c r="B78" s="18"/>
      <c r="C78" s="18"/>
      <c r="D78" s="18"/>
      <c r="E78" s="18"/>
      <c r="F78" s="19"/>
      <c r="G78" s="19"/>
      <c r="H78" s="15" t="str">
        <f aca="false">IF(AND(F78="",G78=""),"",N(F78)+N(G78))</f>
        <v/>
      </c>
      <c r="I78" s="18"/>
      <c r="J78" s="18"/>
      <c r="K78" s="20"/>
      <c r="L78" s="18"/>
    </row>
    <row r="79" customFormat="false" ht="15" hidden="false" customHeight="false" outlineLevel="0" collapsed="false">
      <c r="A79" s="17"/>
      <c r="B79" s="18"/>
      <c r="C79" s="18"/>
      <c r="D79" s="18"/>
      <c r="E79" s="18"/>
      <c r="F79" s="19"/>
      <c r="G79" s="19"/>
      <c r="H79" s="15" t="str">
        <f aca="false">IF(AND(F79="",G79=""),"",N(F79)+N(G79))</f>
        <v/>
      </c>
      <c r="I79" s="18"/>
      <c r="J79" s="18"/>
      <c r="K79" s="20"/>
      <c r="L79" s="18"/>
    </row>
    <row r="80" customFormat="false" ht="15" hidden="false" customHeight="false" outlineLevel="0" collapsed="false">
      <c r="A80" s="17"/>
      <c r="B80" s="18"/>
      <c r="C80" s="18"/>
      <c r="D80" s="18"/>
      <c r="E80" s="18"/>
      <c r="F80" s="19"/>
      <c r="G80" s="19"/>
      <c r="H80" s="15" t="str">
        <f aca="false">IF(AND(F80="",G80=""),"",N(F80)+N(G80))</f>
        <v/>
      </c>
      <c r="I80" s="18"/>
      <c r="J80" s="18"/>
      <c r="K80" s="20"/>
      <c r="L80" s="18"/>
    </row>
    <row r="81" customFormat="false" ht="15" hidden="false" customHeight="false" outlineLevel="0" collapsed="false">
      <c r="A81" s="17"/>
      <c r="B81" s="18"/>
      <c r="C81" s="18"/>
      <c r="D81" s="18"/>
      <c r="E81" s="18"/>
      <c r="F81" s="19"/>
      <c r="G81" s="19"/>
      <c r="H81" s="15" t="str">
        <f aca="false">IF(AND(F81="",G81=""),"",N(F81)+N(G81))</f>
        <v/>
      </c>
      <c r="I81" s="18"/>
      <c r="J81" s="18"/>
      <c r="K81" s="20"/>
      <c r="L81" s="18"/>
    </row>
    <row r="82" customFormat="false" ht="15" hidden="false" customHeight="false" outlineLevel="0" collapsed="false">
      <c r="A82" s="17"/>
      <c r="B82" s="18"/>
      <c r="C82" s="18"/>
      <c r="D82" s="18"/>
      <c r="E82" s="18"/>
      <c r="F82" s="19"/>
      <c r="G82" s="19"/>
      <c r="H82" s="15" t="str">
        <f aca="false">IF(AND(F82="",G82=""),"",N(F82)+N(G82))</f>
        <v/>
      </c>
      <c r="I82" s="18"/>
      <c r="J82" s="18"/>
      <c r="K82" s="20"/>
      <c r="L82" s="18"/>
    </row>
    <row r="83" customFormat="false" ht="15" hidden="false" customHeight="false" outlineLevel="0" collapsed="false">
      <c r="A83" s="17"/>
      <c r="B83" s="18"/>
      <c r="C83" s="18"/>
      <c r="D83" s="18"/>
      <c r="E83" s="18"/>
      <c r="F83" s="19"/>
      <c r="G83" s="19"/>
      <c r="H83" s="15" t="str">
        <f aca="false">IF(AND(F83="",G83=""),"",N(F83)+N(G83))</f>
        <v/>
      </c>
      <c r="I83" s="18"/>
      <c r="J83" s="18"/>
      <c r="K83" s="20"/>
      <c r="L83" s="18"/>
    </row>
    <row r="84" customFormat="false" ht="15" hidden="false" customHeight="false" outlineLevel="0" collapsed="false">
      <c r="A84" s="17"/>
      <c r="B84" s="18"/>
      <c r="C84" s="18"/>
      <c r="D84" s="18"/>
      <c r="E84" s="18"/>
      <c r="F84" s="19"/>
      <c r="G84" s="19"/>
      <c r="H84" s="15" t="str">
        <f aca="false">IF(AND(F84="",G84=""),"",N(F84)+N(G84))</f>
        <v/>
      </c>
      <c r="I84" s="18"/>
      <c r="J84" s="18"/>
      <c r="K84" s="20"/>
      <c r="L84" s="18"/>
    </row>
    <row r="85" customFormat="false" ht="15" hidden="false" customHeight="false" outlineLevel="0" collapsed="false">
      <c r="A85" s="17"/>
      <c r="B85" s="18"/>
      <c r="C85" s="18"/>
      <c r="D85" s="18"/>
      <c r="E85" s="18"/>
      <c r="F85" s="19"/>
      <c r="G85" s="19"/>
      <c r="H85" s="15" t="str">
        <f aca="false">IF(AND(F85="",G85=""),"",N(F85)+N(G85))</f>
        <v/>
      </c>
      <c r="I85" s="18"/>
      <c r="J85" s="18"/>
      <c r="K85" s="20"/>
      <c r="L85" s="18"/>
    </row>
    <row r="86" customFormat="false" ht="15" hidden="false" customHeight="false" outlineLevel="0" collapsed="false">
      <c r="A86" s="17"/>
      <c r="B86" s="18"/>
      <c r="C86" s="18"/>
      <c r="D86" s="18"/>
      <c r="E86" s="18"/>
      <c r="F86" s="19"/>
      <c r="G86" s="19"/>
      <c r="H86" s="15" t="str">
        <f aca="false">IF(AND(F86="",G86=""),"",N(F86)+N(G86))</f>
        <v/>
      </c>
      <c r="I86" s="18"/>
      <c r="J86" s="18"/>
      <c r="K86" s="20"/>
      <c r="L86" s="18"/>
    </row>
    <row r="87" customFormat="false" ht="15" hidden="false" customHeight="false" outlineLevel="0" collapsed="false">
      <c r="A87" s="17"/>
      <c r="B87" s="18"/>
      <c r="C87" s="18"/>
      <c r="D87" s="18"/>
      <c r="E87" s="18"/>
      <c r="F87" s="19"/>
      <c r="G87" s="19"/>
      <c r="H87" s="15" t="str">
        <f aca="false">IF(AND(F87="",G87=""),"",N(F87)+N(G87))</f>
        <v/>
      </c>
      <c r="I87" s="18"/>
      <c r="J87" s="18"/>
      <c r="K87" s="20"/>
      <c r="L87" s="18"/>
    </row>
    <row r="88" customFormat="false" ht="15" hidden="false" customHeight="false" outlineLevel="0" collapsed="false">
      <c r="A88" s="17"/>
      <c r="B88" s="18"/>
      <c r="C88" s="18"/>
      <c r="D88" s="18"/>
      <c r="E88" s="18"/>
      <c r="F88" s="19"/>
      <c r="G88" s="19"/>
      <c r="H88" s="15" t="str">
        <f aca="false">IF(AND(F88="",G88=""),"",N(F88)+N(G88))</f>
        <v/>
      </c>
      <c r="I88" s="18"/>
      <c r="J88" s="18"/>
      <c r="K88" s="20"/>
      <c r="L88" s="18"/>
    </row>
    <row r="89" customFormat="false" ht="15" hidden="false" customHeight="false" outlineLevel="0" collapsed="false">
      <c r="A89" s="17"/>
      <c r="B89" s="18"/>
      <c r="C89" s="18"/>
      <c r="D89" s="18"/>
      <c r="E89" s="18"/>
      <c r="F89" s="19"/>
      <c r="G89" s="19"/>
      <c r="H89" s="15" t="str">
        <f aca="false">IF(AND(F89="",G89=""),"",N(F89)+N(G89))</f>
        <v/>
      </c>
      <c r="I89" s="18"/>
      <c r="J89" s="18"/>
      <c r="K89" s="20"/>
      <c r="L89" s="18"/>
    </row>
    <row r="90" customFormat="false" ht="15" hidden="false" customHeight="false" outlineLevel="0" collapsed="false">
      <c r="A90" s="17"/>
      <c r="B90" s="18"/>
      <c r="C90" s="18"/>
      <c r="D90" s="18"/>
      <c r="E90" s="18"/>
      <c r="F90" s="19"/>
      <c r="G90" s="19"/>
      <c r="H90" s="15" t="str">
        <f aca="false">IF(AND(F90="",G90=""),"",N(F90)+N(G90))</f>
        <v/>
      </c>
      <c r="I90" s="18"/>
      <c r="J90" s="18"/>
      <c r="K90" s="20"/>
      <c r="L90" s="18"/>
    </row>
    <row r="91" customFormat="false" ht="15" hidden="false" customHeight="false" outlineLevel="0" collapsed="false">
      <c r="A91" s="17"/>
      <c r="B91" s="18"/>
      <c r="C91" s="18"/>
      <c r="D91" s="18"/>
      <c r="E91" s="18"/>
      <c r="F91" s="19"/>
      <c r="G91" s="19"/>
      <c r="H91" s="15" t="str">
        <f aca="false">IF(AND(F91="",G91=""),"",N(F91)+N(G91))</f>
        <v/>
      </c>
      <c r="I91" s="18"/>
      <c r="J91" s="18"/>
      <c r="K91" s="20"/>
      <c r="L91" s="18"/>
    </row>
    <row r="92" customFormat="false" ht="15" hidden="false" customHeight="false" outlineLevel="0" collapsed="false">
      <c r="A92" s="17"/>
      <c r="B92" s="18"/>
      <c r="C92" s="18"/>
      <c r="D92" s="18"/>
      <c r="E92" s="18"/>
      <c r="F92" s="19"/>
      <c r="G92" s="19"/>
      <c r="H92" s="15" t="str">
        <f aca="false">IF(AND(F92="",G92=""),"",N(F92)+N(G92))</f>
        <v/>
      </c>
      <c r="I92" s="18"/>
      <c r="J92" s="18"/>
      <c r="K92" s="20"/>
      <c r="L92" s="18"/>
    </row>
    <row r="93" customFormat="false" ht="15" hidden="false" customHeight="false" outlineLevel="0" collapsed="false">
      <c r="A93" s="17"/>
      <c r="B93" s="18"/>
      <c r="C93" s="18"/>
      <c r="D93" s="18"/>
      <c r="E93" s="18"/>
      <c r="F93" s="19"/>
      <c r="G93" s="19"/>
      <c r="H93" s="15" t="str">
        <f aca="false">IF(AND(F93="",G93=""),"",N(F93)+N(G93))</f>
        <v/>
      </c>
      <c r="I93" s="18"/>
      <c r="J93" s="18"/>
      <c r="K93" s="20"/>
      <c r="L93" s="18"/>
    </row>
    <row r="94" customFormat="false" ht="15" hidden="false" customHeight="false" outlineLevel="0" collapsed="false">
      <c r="A94" s="17"/>
      <c r="B94" s="18"/>
      <c r="C94" s="18"/>
      <c r="D94" s="18"/>
      <c r="E94" s="18"/>
      <c r="F94" s="19"/>
      <c r="G94" s="19"/>
      <c r="H94" s="15" t="str">
        <f aca="false">IF(AND(F94="",G94=""),"",N(F94)+N(G94))</f>
        <v/>
      </c>
      <c r="I94" s="18"/>
      <c r="J94" s="18"/>
      <c r="K94" s="20"/>
      <c r="L94" s="18"/>
    </row>
    <row r="95" customFormat="false" ht="15" hidden="false" customHeight="false" outlineLevel="0" collapsed="false">
      <c r="A95" s="17"/>
      <c r="B95" s="18"/>
      <c r="C95" s="18"/>
      <c r="D95" s="18"/>
      <c r="E95" s="18"/>
      <c r="F95" s="19"/>
      <c r="G95" s="19"/>
      <c r="H95" s="15" t="str">
        <f aca="false">IF(AND(F95="",G95=""),"",N(F95)+N(G95))</f>
        <v/>
      </c>
      <c r="I95" s="18"/>
      <c r="J95" s="18"/>
      <c r="K95" s="20"/>
      <c r="L95" s="18"/>
    </row>
    <row r="96" customFormat="false" ht="15" hidden="false" customHeight="false" outlineLevel="0" collapsed="false">
      <c r="A96" s="17"/>
      <c r="B96" s="18"/>
      <c r="C96" s="18"/>
      <c r="D96" s="18"/>
      <c r="E96" s="18"/>
      <c r="F96" s="19"/>
      <c r="G96" s="19"/>
      <c r="H96" s="15" t="str">
        <f aca="false">IF(AND(F96="",G96=""),"",N(F96)+N(G96))</f>
        <v/>
      </c>
      <c r="I96" s="18"/>
      <c r="J96" s="18"/>
      <c r="K96" s="20"/>
      <c r="L96" s="18"/>
    </row>
    <row r="97" customFormat="false" ht="15" hidden="false" customHeight="false" outlineLevel="0" collapsed="false">
      <c r="A97" s="17"/>
      <c r="B97" s="18"/>
      <c r="C97" s="18"/>
      <c r="D97" s="18"/>
      <c r="E97" s="18"/>
      <c r="F97" s="19"/>
      <c r="G97" s="19"/>
      <c r="H97" s="15" t="str">
        <f aca="false">IF(AND(F97="",G97=""),"",N(F97)+N(G97))</f>
        <v/>
      </c>
      <c r="I97" s="18"/>
      <c r="J97" s="18"/>
      <c r="K97" s="20"/>
      <c r="L97" s="18"/>
    </row>
    <row r="98" customFormat="false" ht="15" hidden="false" customHeight="false" outlineLevel="0" collapsed="false">
      <c r="A98" s="17"/>
      <c r="B98" s="18"/>
      <c r="C98" s="18"/>
      <c r="D98" s="18"/>
      <c r="E98" s="18"/>
      <c r="F98" s="19"/>
      <c r="G98" s="19"/>
      <c r="H98" s="15" t="str">
        <f aca="false">IF(AND(F98="",G98=""),"",N(F98)+N(G98))</f>
        <v/>
      </c>
      <c r="I98" s="18"/>
      <c r="J98" s="18"/>
      <c r="K98" s="20"/>
      <c r="L98" s="18"/>
    </row>
    <row r="99" customFormat="false" ht="15" hidden="false" customHeight="false" outlineLevel="0" collapsed="false">
      <c r="A99" s="17"/>
      <c r="B99" s="18"/>
      <c r="C99" s="18"/>
      <c r="D99" s="18"/>
      <c r="E99" s="18"/>
      <c r="F99" s="19"/>
      <c r="G99" s="19"/>
      <c r="H99" s="15" t="str">
        <f aca="false">IF(AND(F99="",G99=""),"",N(F99)+N(G99))</f>
        <v/>
      </c>
      <c r="I99" s="18"/>
      <c r="J99" s="18"/>
      <c r="K99" s="20"/>
      <c r="L99" s="18"/>
    </row>
    <row r="100" customFormat="false" ht="15" hidden="false" customHeight="false" outlineLevel="0" collapsed="false">
      <c r="A100" s="17"/>
      <c r="B100" s="18"/>
      <c r="C100" s="18"/>
      <c r="D100" s="18"/>
      <c r="E100" s="18"/>
      <c r="F100" s="19"/>
      <c r="G100" s="19"/>
      <c r="H100" s="15" t="str">
        <f aca="false">IF(AND(F100="",G100=""),"",N(F100)+N(G100))</f>
        <v/>
      </c>
      <c r="I100" s="18"/>
      <c r="J100" s="18"/>
      <c r="K100" s="20"/>
      <c r="L100" s="18"/>
    </row>
    <row r="101" customFormat="false" ht="15" hidden="false" customHeight="false" outlineLevel="0" collapsed="false">
      <c r="A101" s="17"/>
      <c r="B101" s="18"/>
      <c r="C101" s="18"/>
      <c r="D101" s="18"/>
      <c r="E101" s="18"/>
      <c r="F101" s="19"/>
      <c r="G101" s="19"/>
      <c r="H101" s="15" t="str">
        <f aca="false">IF(AND(F101="",G101=""),"",N(F101)+N(G101))</f>
        <v/>
      </c>
      <c r="I101" s="18"/>
      <c r="J101" s="18"/>
      <c r="K101" s="20"/>
      <c r="L101" s="18"/>
    </row>
    <row r="102" customFormat="false" ht="15" hidden="false" customHeight="false" outlineLevel="0" collapsed="false">
      <c r="A102" s="17"/>
      <c r="B102" s="18"/>
      <c r="C102" s="18"/>
      <c r="D102" s="18"/>
      <c r="E102" s="18"/>
      <c r="F102" s="19"/>
      <c r="G102" s="19"/>
      <c r="H102" s="15" t="str">
        <f aca="false">IF(AND(F102="",G102=""),"",N(F102)+N(G102))</f>
        <v/>
      </c>
      <c r="I102" s="18"/>
      <c r="J102" s="18"/>
      <c r="K102" s="20"/>
      <c r="L102" s="18"/>
    </row>
    <row r="103" customFormat="false" ht="15" hidden="false" customHeight="false" outlineLevel="0" collapsed="false">
      <c r="A103" s="17"/>
      <c r="B103" s="18"/>
      <c r="C103" s="18"/>
      <c r="D103" s="18"/>
      <c r="E103" s="18"/>
      <c r="F103" s="19"/>
      <c r="G103" s="19"/>
      <c r="H103" s="15" t="str">
        <f aca="false">IF(AND(F103="",G103=""),"",N(F103)+N(G103))</f>
        <v/>
      </c>
      <c r="I103" s="18"/>
      <c r="J103" s="18"/>
      <c r="K103" s="20"/>
      <c r="L103" s="18"/>
    </row>
    <row r="104" customFormat="false" ht="15" hidden="false" customHeight="false" outlineLevel="0" collapsed="false">
      <c r="A104" s="17"/>
      <c r="B104" s="18"/>
      <c r="C104" s="18"/>
      <c r="D104" s="18"/>
      <c r="E104" s="18"/>
      <c r="F104" s="19"/>
      <c r="G104" s="19"/>
      <c r="H104" s="15" t="str">
        <f aca="false">IF(AND(F104="",G104=""),"",N(F104)+N(G104))</f>
        <v/>
      </c>
      <c r="I104" s="18"/>
      <c r="J104" s="18"/>
      <c r="K104" s="20"/>
      <c r="L104" s="18"/>
    </row>
    <row r="105" customFormat="false" ht="15" hidden="false" customHeight="false" outlineLevel="0" collapsed="false">
      <c r="A105" s="17"/>
      <c r="B105" s="18"/>
      <c r="C105" s="18"/>
      <c r="D105" s="18"/>
      <c r="E105" s="18"/>
      <c r="F105" s="19"/>
      <c r="G105" s="19"/>
      <c r="H105" s="15" t="str">
        <f aca="false">IF(AND(F105="",G105=""),"",N(F105)+N(G105))</f>
        <v/>
      </c>
      <c r="I105" s="18"/>
      <c r="J105" s="18"/>
      <c r="K105" s="20"/>
      <c r="L105" s="18"/>
    </row>
    <row r="106" customFormat="false" ht="15" hidden="false" customHeight="false" outlineLevel="0" collapsed="false">
      <c r="A106" s="17"/>
      <c r="B106" s="18"/>
      <c r="C106" s="18"/>
      <c r="D106" s="18"/>
      <c r="E106" s="18"/>
      <c r="F106" s="19"/>
      <c r="G106" s="19"/>
      <c r="H106" s="15" t="str">
        <f aca="false">IF(AND(F106="",G106=""),"",N(F106)+N(G106))</f>
        <v/>
      </c>
      <c r="I106" s="18"/>
      <c r="J106" s="18"/>
      <c r="K106" s="20"/>
      <c r="L106" s="18"/>
    </row>
    <row r="107" customFormat="false" ht="15" hidden="false" customHeight="false" outlineLevel="0" collapsed="false">
      <c r="A107" s="17"/>
      <c r="B107" s="18"/>
      <c r="C107" s="18"/>
      <c r="D107" s="18"/>
      <c r="E107" s="18"/>
      <c r="F107" s="19"/>
      <c r="G107" s="19"/>
      <c r="H107" s="15" t="str">
        <f aca="false">IF(AND(F107="",G107=""),"",N(F107)+N(G107))</f>
        <v/>
      </c>
      <c r="I107" s="18"/>
      <c r="J107" s="18"/>
      <c r="K107" s="20"/>
      <c r="L107" s="18"/>
    </row>
    <row r="108" customFormat="false" ht="15" hidden="false" customHeight="false" outlineLevel="0" collapsed="false">
      <c r="A108" s="17"/>
      <c r="B108" s="18"/>
      <c r="C108" s="18"/>
      <c r="D108" s="18"/>
      <c r="E108" s="18"/>
      <c r="F108" s="19"/>
      <c r="G108" s="19"/>
      <c r="H108" s="15" t="str">
        <f aca="false">IF(AND(F108="",G108=""),"",N(F108)+N(G108))</f>
        <v/>
      </c>
      <c r="I108" s="18"/>
      <c r="J108" s="18"/>
      <c r="K108" s="20"/>
      <c r="L108" s="18"/>
    </row>
    <row r="109" customFormat="false" ht="15" hidden="false" customHeight="false" outlineLevel="0" collapsed="false">
      <c r="A109" s="17"/>
      <c r="B109" s="18"/>
      <c r="C109" s="18"/>
      <c r="D109" s="18"/>
      <c r="E109" s="18"/>
      <c r="F109" s="19"/>
      <c r="G109" s="19"/>
      <c r="H109" s="15" t="str">
        <f aca="false">IF(AND(F109="",G109=""),"",N(F109)+N(G109))</f>
        <v/>
      </c>
      <c r="I109" s="18"/>
      <c r="J109" s="18"/>
      <c r="K109" s="20"/>
      <c r="L109" s="18"/>
    </row>
    <row r="110" customFormat="false" ht="15" hidden="false" customHeight="false" outlineLevel="0" collapsed="false">
      <c r="A110" s="17"/>
      <c r="B110" s="18"/>
      <c r="C110" s="18"/>
      <c r="D110" s="18"/>
      <c r="E110" s="18"/>
      <c r="F110" s="19"/>
      <c r="G110" s="19"/>
      <c r="H110" s="15" t="str">
        <f aca="false">IF(AND(F110="",G110=""),"",N(F110)+N(G110))</f>
        <v/>
      </c>
      <c r="I110" s="18"/>
      <c r="J110" s="18"/>
      <c r="K110" s="20"/>
      <c r="L110" s="18"/>
    </row>
    <row r="111" customFormat="false" ht="15" hidden="false" customHeight="false" outlineLevel="0" collapsed="false">
      <c r="A111" s="17"/>
      <c r="B111" s="18"/>
      <c r="C111" s="18"/>
      <c r="D111" s="18"/>
      <c r="E111" s="18"/>
      <c r="F111" s="19"/>
      <c r="G111" s="19"/>
      <c r="H111" s="15" t="str">
        <f aca="false">IF(AND(F111="",G111=""),"",N(F111)+N(G111))</f>
        <v/>
      </c>
      <c r="I111" s="18"/>
      <c r="J111" s="18"/>
      <c r="K111" s="20"/>
      <c r="L111" s="18"/>
    </row>
    <row r="112" customFormat="false" ht="15" hidden="false" customHeight="false" outlineLevel="0" collapsed="false">
      <c r="A112" s="17"/>
      <c r="B112" s="18"/>
      <c r="C112" s="18"/>
      <c r="D112" s="18"/>
      <c r="E112" s="18"/>
      <c r="F112" s="19"/>
      <c r="G112" s="19"/>
      <c r="H112" s="15" t="str">
        <f aca="false">IF(AND(F112="",G112=""),"",N(F112)+N(G112))</f>
        <v/>
      </c>
      <c r="I112" s="18"/>
      <c r="J112" s="18"/>
      <c r="K112" s="20"/>
      <c r="L112" s="18"/>
    </row>
    <row r="113" customFormat="false" ht="15" hidden="false" customHeight="false" outlineLevel="0" collapsed="false">
      <c r="A113" s="17"/>
      <c r="B113" s="18"/>
      <c r="C113" s="18"/>
      <c r="D113" s="18"/>
      <c r="E113" s="18"/>
      <c r="F113" s="19"/>
      <c r="G113" s="19"/>
      <c r="H113" s="15" t="str">
        <f aca="false">IF(AND(F113="",G113=""),"",N(F113)+N(G113))</f>
        <v/>
      </c>
      <c r="I113" s="18"/>
      <c r="J113" s="18"/>
      <c r="K113" s="20"/>
      <c r="L113" s="18"/>
    </row>
    <row r="114" customFormat="false" ht="15" hidden="false" customHeight="false" outlineLevel="0" collapsed="false">
      <c r="A114" s="17"/>
      <c r="B114" s="18"/>
      <c r="C114" s="18"/>
      <c r="D114" s="18"/>
      <c r="E114" s="18"/>
      <c r="F114" s="19"/>
      <c r="G114" s="19"/>
      <c r="H114" s="15" t="str">
        <f aca="false">IF(AND(F114="",G114=""),"",N(F114)+N(G114))</f>
        <v/>
      </c>
      <c r="I114" s="18"/>
      <c r="J114" s="18"/>
      <c r="K114" s="20"/>
      <c r="L114" s="18"/>
    </row>
    <row r="115" customFormat="false" ht="15" hidden="false" customHeight="false" outlineLevel="0" collapsed="false">
      <c r="A115" s="17"/>
      <c r="B115" s="18"/>
      <c r="C115" s="18"/>
      <c r="D115" s="18"/>
      <c r="E115" s="18"/>
      <c r="F115" s="19"/>
      <c r="G115" s="19"/>
      <c r="H115" s="15" t="str">
        <f aca="false">IF(AND(F115="",G115=""),"",N(F115)+N(G115))</f>
        <v/>
      </c>
      <c r="I115" s="18"/>
      <c r="J115" s="18"/>
      <c r="K115" s="20"/>
      <c r="L115" s="18"/>
    </row>
    <row r="116" customFormat="false" ht="15" hidden="false" customHeight="false" outlineLevel="0" collapsed="false">
      <c r="A116" s="17"/>
      <c r="B116" s="18"/>
      <c r="C116" s="18"/>
      <c r="D116" s="18"/>
      <c r="E116" s="18"/>
      <c r="F116" s="19"/>
      <c r="G116" s="19"/>
      <c r="H116" s="15" t="str">
        <f aca="false">IF(AND(F116="",G116=""),"",N(F116)+N(G116))</f>
        <v/>
      </c>
      <c r="I116" s="18"/>
      <c r="J116" s="18"/>
      <c r="K116" s="20"/>
      <c r="L116" s="18"/>
    </row>
    <row r="117" customFormat="false" ht="15" hidden="false" customHeight="false" outlineLevel="0" collapsed="false">
      <c r="A117" s="17"/>
      <c r="B117" s="18"/>
      <c r="C117" s="18"/>
      <c r="D117" s="18"/>
      <c r="E117" s="18"/>
      <c r="F117" s="19"/>
      <c r="G117" s="19"/>
      <c r="H117" s="15" t="str">
        <f aca="false">IF(AND(F117="",G117=""),"",N(F117)+N(G117))</f>
        <v/>
      </c>
      <c r="I117" s="18"/>
      <c r="J117" s="18"/>
      <c r="K117" s="20"/>
      <c r="L117" s="18"/>
    </row>
    <row r="118" customFormat="false" ht="15" hidden="false" customHeight="false" outlineLevel="0" collapsed="false">
      <c r="A118" s="17"/>
      <c r="B118" s="18"/>
      <c r="C118" s="18"/>
      <c r="D118" s="18"/>
      <c r="E118" s="18"/>
      <c r="F118" s="19"/>
      <c r="G118" s="19"/>
      <c r="H118" s="15" t="str">
        <f aca="false">IF(AND(F118="",G118=""),"",N(F118)+N(G118))</f>
        <v/>
      </c>
      <c r="I118" s="18"/>
      <c r="J118" s="18"/>
      <c r="K118" s="20"/>
      <c r="L118" s="18"/>
    </row>
    <row r="119" customFormat="false" ht="15" hidden="false" customHeight="false" outlineLevel="0" collapsed="false">
      <c r="A119" s="17"/>
      <c r="B119" s="18"/>
      <c r="C119" s="18"/>
      <c r="D119" s="18"/>
      <c r="E119" s="18"/>
      <c r="F119" s="19"/>
      <c r="G119" s="19"/>
      <c r="H119" s="15" t="str">
        <f aca="false">IF(AND(F119="",G119=""),"",N(F119)+N(G119))</f>
        <v/>
      </c>
      <c r="I119" s="18"/>
      <c r="J119" s="18"/>
      <c r="K119" s="20"/>
      <c r="L119" s="18"/>
    </row>
    <row r="120" customFormat="false" ht="15" hidden="false" customHeight="false" outlineLevel="0" collapsed="false">
      <c r="A120" s="17"/>
      <c r="B120" s="18"/>
      <c r="C120" s="18"/>
      <c r="D120" s="18"/>
      <c r="E120" s="18"/>
      <c r="F120" s="19"/>
      <c r="G120" s="19"/>
      <c r="H120" s="15" t="str">
        <f aca="false">IF(AND(F120="",G120=""),"",N(F120)+N(G120))</f>
        <v/>
      </c>
      <c r="I120" s="18"/>
      <c r="J120" s="18"/>
      <c r="K120" s="20"/>
      <c r="L120" s="18"/>
    </row>
    <row r="121" customFormat="false" ht="15" hidden="false" customHeight="false" outlineLevel="0" collapsed="false">
      <c r="A121" s="17"/>
      <c r="B121" s="18"/>
      <c r="C121" s="18"/>
      <c r="D121" s="18"/>
      <c r="E121" s="18"/>
      <c r="F121" s="19"/>
      <c r="G121" s="19"/>
      <c r="H121" s="15" t="str">
        <f aca="false">IF(AND(F121="",G121=""),"",N(F121)+N(G121))</f>
        <v/>
      </c>
      <c r="I121" s="18"/>
      <c r="J121" s="18"/>
      <c r="K121" s="20"/>
      <c r="L121" s="18"/>
    </row>
    <row r="122" customFormat="false" ht="15" hidden="false" customHeight="false" outlineLevel="0" collapsed="false">
      <c r="A122" s="17"/>
      <c r="B122" s="18"/>
      <c r="C122" s="18"/>
      <c r="D122" s="18"/>
      <c r="E122" s="18"/>
      <c r="F122" s="19"/>
      <c r="G122" s="19"/>
      <c r="H122" s="15" t="str">
        <f aca="false">IF(AND(F122="",G122=""),"",N(F122)+N(G122))</f>
        <v/>
      </c>
      <c r="I122" s="18"/>
      <c r="J122" s="18"/>
      <c r="K122" s="20"/>
      <c r="L122" s="18"/>
    </row>
    <row r="123" customFormat="false" ht="15" hidden="false" customHeight="false" outlineLevel="0" collapsed="false">
      <c r="A123" s="17"/>
      <c r="B123" s="18"/>
      <c r="C123" s="18"/>
      <c r="D123" s="18"/>
      <c r="E123" s="18"/>
      <c r="F123" s="19"/>
      <c r="G123" s="19"/>
      <c r="H123" s="15" t="str">
        <f aca="false">IF(AND(F123="",G123=""),"",N(F123)+N(G123))</f>
        <v/>
      </c>
      <c r="I123" s="18"/>
      <c r="J123" s="18"/>
      <c r="K123" s="20"/>
      <c r="L123" s="18"/>
    </row>
    <row r="124" customFormat="false" ht="15" hidden="false" customHeight="false" outlineLevel="0" collapsed="false">
      <c r="A124" s="17"/>
      <c r="B124" s="18"/>
      <c r="C124" s="18"/>
      <c r="D124" s="18"/>
      <c r="E124" s="18"/>
      <c r="F124" s="19"/>
      <c r="G124" s="19"/>
      <c r="H124" s="15" t="str">
        <f aca="false">IF(AND(F124="",G124=""),"",N(F124)+N(G124))</f>
        <v/>
      </c>
      <c r="I124" s="18"/>
      <c r="J124" s="18"/>
      <c r="K124" s="20"/>
      <c r="L124" s="18"/>
    </row>
    <row r="125" customFormat="false" ht="15" hidden="false" customHeight="false" outlineLevel="0" collapsed="false">
      <c r="A125" s="17"/>
      <c r="B125" s="18"/>
      <c r="C125" s="18"/>
      <c r="D125" s="18"/>
      <c r="E125" s="18"/>
      <c r="F125" s="19"/>
      <c r="G125" s="19"/>
      <c r="H125" s="15" t="str">
        <f aca="false">IF(AND(F125="",G125=""),"",N(F125)+N(G125))</f>
        <v/>
      </c>
      <c r="I125" s="18"/>
      <c r="J125" s="18"/>
      <c r="K125" s="20"/>
      <c r="L125" s="18"/>
    </row>
    <row r="126" customFormat="false" ht="15" hidden="false" customHeight="false" outlineLevel="0" collapsed="false">
      <c r="A126" s="17"/>
      <c r="B126" s="18"/>
      <c r="C126" s="18"/>
      <c r="D126" s="18"/>
      <c r="E126" s="18"/>
      <c r="F126" s="19"/>
      <c r="G126" s="19"/>
      <c r="H126" s="15" t="str">
        <f aca="false">IF(AND(F126="",G126=""),"",N(F126)+N(G126))</f>
        <v/>
      </c>
      <c r="I126" s="18"/>
      <c r="J126" s="18"/>
      <c r="K126" s="20"/>
      <c r="L126" s="18"/>
    </row>
    <row r="127" customFormat="false" ht="15" hidden="false" customHeight="false" outlineLevel="0" collapsed="false">
      <c r="A127" s="17"/>
      <c r="B127" s="18"/>
      <c r="C127" s="18"/>
      <c r="D127" s="18"/>
      <c r="E127" s="18"/>
      <c r="F127" s="19"/>
      <c r="G127" s="19"/>
      <c r="H127" s="15" t="str">
        <f aca="false">IF(AND(F127="",G127=""),"",N(F127)+N(G127))</f>
        <v/>
      </c>
      <c r="I127" s="18"/>
      <c r="J127" s="18"/>
      <c r="K127" s="20"/>
      <c r="L127" s="18"/>
    </row>
    <row r="128" customFormat="false" ht="15" hidden="false" customHeight="false" outlineLevel="0" collapsed="false">
      <c r="A128" s="17"/>
      <c r="B128" s="18"/>
      <c r="C128" s="18"/>
      <c r="D128" s="18"/>
      <c r="E128" s="18"/>
      <c r="F128" s="19"/>
      <c r="G128" s="19"/>
      <c r="H128" s="15" t="str">
        <f aca="false">IF(AND(F128="",G128=""),"",N(F128)+N(G128))</f>
        <v/>
      </c>
      <c r="I128" s="18"/>
      <c r="J128" s="18"/>
      <c r="K128" s="20"/>
      <c r="L128" s="18"/>
    </row>
    <row r="129" customFormat="false" ht="15" hidden="false" customHeight="false" outlineLevel="0" collapsed="false">
      <c r="A129" s="17"/>
      <c r="B129" s="18"/>
      <c r="C129" s="18"/>
      <c r="D129" s="18"/>
      <c r="E129" s="18"/>
      <c r="F129" s="19"/>
      <c r="G129" s="19"/>
      <c r="H129" s="15" t="str">
        <f aca="false">IF(AND(F129="",G129=""),"",N(F129)+N(G129))</f>
        <v/>
      </c>
      <c r="I129" s="18"/>
      <c r="J129" s="18"/>
      <c r="K129" s="20"/>
      <c r="L129" s="18"/>
    </row>
    <row r="130" customFormat="false" ht="15" hidden="false" customHeight="false" outlineLevel="0" collapsed="false">
      <c r="A130" s="17"/>
      <c r="B130" s="18"/>
      <c r="C130" s="18"/>
      <c r="D130" s="18"/>
      <c r="E130" s="18"/>
      <c r="F130" s="19"/>
      <c r="G130" s="19"/>
      <c r="H130" s="15" t="str">
        <f aca="false">IF(AND(F130="",G130=""),"",N(F130)+N(G130))</f>
        <v/>
      </c>
      <c r="I130" s="18"/>
      <c r="J130" s="18"/>
      <c r="K130" s="20"/>
      <c r="L130" s="18"/>
    </row>
    <row r="131" customFormat="false" ht="15" hidden="false" customHeight="false" outlineLevel="0" collapsed="false">
      <c r="A131" s="17"/>
      <c r="B131" s="18"/>
      <c r="C131" s="18"/>
      <c r="D131" s="18"/>
      <c r="E131" s="18"/>
      <c r="F131" s="19"/>
      <c r="G131" s="19"/>
      <c r="H131" s="15" t="str">
        <f aca="false">IF(AND(F131="",G131=""),"",N(F131)+N(G131))</f>
        <v/>
      </c>
      <c r="I131" s="18"/>
      <c r="J131" s="18"/>
      <c r="K131" s="20"/>
      <c r="L131" s="18"/>
    </row>
    <row r="132" customFormat="false" ht="15" hidden="false" customHeight="false" outlineLevel="0" collapsed="false">
      <c r="A132" s="17"/>
      <c r="B132" s="18"/>
      <c r="C132" s="18"/>
      <c r="D132" s="18"/>
      <c r="E132" s="18"/>
      <c r="F132" s="19"/>
      <c r="G132" s="19"/>
      <c r="H132" s="15" t="str">
        <f aca="false">IF(AND(F132="",G132=""),"",N(F132)+N(G132))</f>
        <v/>
      </c>
      <c r="I132" s="18"/>
      <c r="J132" s="18"/>
      <c r="K132" s="20"/>
      <c r="L132" s="18"/>
    </row>
    <row r="133" customFormat="false" ht="15" hidden="false" customHeight="false" outlineLevel="0" collapsed="false">
      <c r="A133" s="17"/>
      <c r="B133" s="18"/>
      <c r="C133" s="18"/>
      <c r="D133" s="18"/>
      <c r="E133" s="18"/>
      <c r="F133" s="19"/>
      <c r="G133" s="19"/>
      <c r="H133" s="15" t="str">
        <f aca="false">IF(AND(F133="",G133=""),"",N(F133)+N(G133))</f>
        <v/>
      </c>
      <c r="I133" s="18"/>
      <c r="J133" s="18"/>
      <c r="K133" s="20"/>
      <c r="L133" s="18"/>
    </row>
    <row r="134" customFormat="false" ht="15" hidden="false" customHeight="false" outlineLevel="0" collapsed="false">
      <c r="A134" s="17"/>
      <c r="B134" s="18"/>
      <c r="C134" s="18"/>
      <c r="D134" s="18"/>
      <c r="E134" s="18"/>
      <c r="F134" s="19"/>
      <c r="G134" s="19"/>
      <c r="H134" s="15" t="str">
        <f aca="false">IF(AND(F134="",G134=""),"",N(F134)+N(G134))</f>
        <v/>
      </c>
      <c r="I134" s="18"/>
      <c r="J134" s="18"/>
      <c r="K134" s="20"/>
      <c r="L134" s="18"/>
    </row>
    <row r="135" customFormat="false" ht="15" hidden="false" customHeight="false" outlineLevel="0" collapsed="false">
      <c r="A135" s="17"/>
      <c r="B135" s="18"/>
      <c r="C135" s="18"/>
      <c r="D135" s="18"/>
      <c r="E135" s="18"/>
      <c r="F135" s="19"/>
      <c r="G135" s="19"/>
      <c r="H135" s="15" t="str">
        <f aca="false">IF(AND(F135="",G135=""),"",N(F135)+N(G135))</f>
        <v/>
      </c>
      <c r="I135" s="18"/>
      <c r="J135" s="18"/>
      <c r="K135" s="20"/>
      <c r="L135" s="18"/>
    </row>
    <row r="136" customFormat="false" ht="15" hidden="false" customHeight="false" outlineLevel="0" collapsed="false">
      <c r="A136" s="17"/>
      <c r="B136" s="18"/>
      <c r="C136" s="18"/>
      <c r="D136" s="18"/>
      <c r="E136" s="18"/>
      <c r="F136" s="19"/>
      <c r="G136" s="19"/>
      <c r="H136" s="15" t="str">
        <f aca="false">IF(AND(F136="",G136=""),"",N(F136)+N(G136))</f>
        <v/>
      </c>
      <c r="I136" s="18"/>
      <c r="J136" s="18"/>
      <c r="K136" s="20"/>
      <c r="L136" s="18"/>
    </row>
    <row r="137" customFormat="false" ht="15" hidden="false" customHeight="false" outlineLevel="0" collapsed="false">
      <c r="A137" s="17"/>
      <c r="B137" s="18"/>
      <c r="C137" s="18"/>
      <c r="D137" s="18"/>
      <c r="E137" s="18"/>
      <c r="F137" s="19"/>
      <c r="G137" s="19"/>
      <c r="H137" s="15" t="str">
        <f aca="false">IF(AND(F137="",G137=""),"",N(F137)+N(G137))</f>
        <v/>
      </c>
      <c r="I137" s="18"/>
      <c r="J137" s="18"/>
      <c r="K137" s="20"/>
      <c r="L137" s="18"/>
    </row>
    <row r="138" customFormat="false" ht="15" hidden="false" customHeight="false" outlineLevel="0" collapsed="false">
      <c r="A138" s="17"/>
      <c r="B138" s="18"/>
      <c r="C138" s="18"/>
      <c r="D138" s="18"/>
      <c r="E138" s="18"/>
      <c r="F138" s="19"/>
      <c r="G138" s="19"/>
      <c r="H138" s="15" t="str">
        <f aca="false">IF(AND(F138="",G138=""),"",N(F138)+N(G138))</f>
        <v/>
      </c>
      <c r="I138" s="18"/>
      <c r="J138" s="18"/>
      <c r="K138" s="20"/>
      <c r="L138" s="18"/>
    </row>
    <row r="139" customFormat="false" ht="15" hidden="false" customHeight="false" outlineLevel="0" collapsed="false">
      <c r="A139" s="17"/>
      <c r="B139" s="18"/>
      <c r="C139" s="18"/>
      <c r="D139" s="18"/>
      <c r="E139" s="18"/>
      <c r="F139" s="19"/>
      <c r="G139" s="19"/>
      <c r="H139" s="15" t="str">
        <f aca="false">IF(AND(F139="",G139=""),"",N(F139)+N(G139))</f>
        <v/>
      </c>
      <c r="I139" s="18"/>
      <c r="J139" s="18"/>
      <c r="K139" s="20"/>
      <c r="L139" s="18"/>
    </row>
    <row r="140" customFormat="false" ht="15" hidden="false" customHeight="false" outlineLevel="0" collapsed="false">
      <c r="A140" s="17"/>
      <c r="B140" s="18"/>
      <c r="C140" s="18"/>
      <c r="D140" s="18"/>
      <c r="E140" s="18"/>
      <c r="F140" s="19"/>
      <c r="G140" s="19"/>
      <c r="H140" s="15" t="str">
        <f aca="false">IF(AND(F140="",G140=""),"",N(F140)+N(G140))</f>
        <v/>
      </c>
      <c r="I140" s="18"/>
      <c r="J140" s="18"/>
      <c r="K140" s="20"/>
      <c r="L140" s="18"/>
    </row>
    <row r="141" customFormat="false" ht="15" hidden="false" customHeight="false" outlineLevel="0" collapsed="false">
      <c r="A141" s="17"/>
      <c r="B141" s="18"/>
      <c r="C141" s="18"/>
      <c r="D141" s="18"/>
      <c r="E141" s="18"/>
      <c r="F141" s="19"/>
      <c r="G141" s="19"/>
      <c r="H141" s="15" t="str">
        <f aca="false">IF(AND(F141="",G141=""),"",N(F141)+N(G141))</f>
        <v/>
      </c>
      <c r="I141" s="18"/>
      <c r="J141" s="18"/>
      <c r="K141" s="20"/>
      <c r="L141" s="18"/>
    </row>
    <row r="142" customFormat="false" ht="15" hidden="false" customHeight="false" outlineLevel="0" collapsed="false">
      <c r="A142" s="17"/>
      <c r="B142" s="18"/>
      <c r="C142" s="18"/>
      <c r="D142" s="18"/>
      <c r="E142" s="18"/>
      <c r="F142" s="19"/>
      <c r="G142" s="19"/>
      <c r="H142" s="15" t="str">
        <f aca="false">IF(AND(F142="",G142=""),"",N(F142)+N(G142))</f>
        <v/>
      </c>
      <c r="I142" s="18"/>
      <c r="J142" s="18"/>
      <c r="K142" s="20"/>
      <c r="L142" s="18"/>
    </row>
    <row r="143" customFormat="false" ht="15" hidden="false" customHeight="false" outlineLevel="0" collapsed="false">
      <c r="A143" s="17"/>
      <c r="B143" s="18"/>
      <c r="C143" s="18"/>
      <c r="D143" s="18"/>
      <c r="E143" s="18"/>
      <c r="F143" s="19"/>
      <c r="G143" s="19"/>
      <c r="H143" s="15" t="str">
        <f aca="false">IF(AND(F143="",G143=""),"",N(F143)+N(G143))</f>
        <v/>
      </c>
      <c r="I143" s="18"/>
      <c r="J143" s="18"/>
      <c r="K143" s="20"/>
      <c r="L143" s="18"/>
    </row>
    <row r="144" customFormat="false" ht="15" hidden="false" customHeight="false" outlineLevel="0" collapsed="false">
      <c r="A144" s="17"/>
      <c r="B144" s="18"/>
      <c r="C144" s="18"/>
      <c r="D144" s="18"/>
      <c r="E144" s="18"/>
      <c r="F144" s="19"/>
      <c r="G144" s="19"/>
      <c r="H144" s="15" t="str">
        <f aca="false">IF(AND(F144="",G144=""),"",N(F144)+N(G144))</f>
        <v/>
      </c>
      <c r="I144" s="18"/>
      <c r="J144" s="18"/>
      <c r="K144" s="20"/>
      <c r="L144" s="18"/>
    </row>
    <row r="145" customFormat="false" ht="15" hidden="false" customHeight="false" outlineLevel="0" collapsed="false">
      <c r="A145" s="17"/>
      <c r="B145" s="18"/>
      <c r="C145" s="18"/>
      <c r="D145" s="18"/>
      <c r="E145" s="18"/>
      <c r="F145" s="19"/>
      <c r="G145" s="19"/>
      <c r="H145" s="15" t="str">
        <f aca="false">IF(AND(F145="",G145=""),"",N(F145)+N(G145))</f>
        <v/>
      </c>
      <c r="I145" s="18"/>
      <c r="J145" s="18"/>
      <c r="K145" s="20"/>
      <c r="L145" s="18"/>
    </row>
    <row r="146" customFormat="false" ht="15" hidden="false" customHeight="false" outlineLevel="0" collapsed="false">
      <c r="A146" s="17"/>
      <c r="B146" s="18"/>
      <c r="C146" s="18"/>
      <c r="D146" s="18"/>
      <c r="E146" s="18"/>
      <c r="F146" s="19"/>
      <c r="G146" s="19"/>
      <c r="H146" s="15" t="str">
        <f aca="false">IF(AND(F146="",G146=""),"",N(F146)+N(G146))</f>
        <v/>
      </c>
      <c r="I146" s="18"/>
      <c r="J146" s="18"/>
      <c r="K146" s="20"/>
      <c r="L146" s="18"/>
    </row>
    <row r="147" customFormat="false" ht="15" hidden="false" customHeight="false" outlineLevel="0" collapsed="false">
      <c r="A147" s="17"/>
      <c r="B147" s="18"/>
      <c r="C147" s="18"/>
      <c r="D147" s="18"/>
      <c r="E147" s="18"/>
      <c r="F147" s="19"/>
      <c r="G147" s="19"/>
      <c r="H147" s="15" t="str">
        <f aca="false">IF(AND(F147="",G147=""),"",N(F147)+N(G147))</f>
        <v/>
      </c>
      <c r="I147" s="18"/>
      <c r="J147" s="18"/>
      <c r="K147" s="20"/>
      <c r="L147" s="18"/>
    </row>
    <row r="148" customFormat="false" ht="15" hidden="false" customHeight="false" outlineLevel="0" collapsed="false">
      <c r="A148" s="17"/>
      <c r="B148" s="18"/>
      <c r="C148" s="18"/>
      <c r="D148" s="18"/>
      <c r="E148" s="18"/>
      <c r="F148" s="19"/>
      <c r="G148" s="19"/>
      <c r="H148" s="15" t="str">
        <f aca="false">IF(AND(F148="",G148=""),"",N(F148)+N(G148))</f>
        <v/>
      </c>
      <c r="I148" s="18"/>
      <c r="J148" s="18"/>
      <c r="K148" s="20"/>
      <c r="L148" s="18"/>
    </row>
    <row r="149" customFormat="false" ht="15" hidden="false" customHeight="false" outlineLevel="0" collapsed="false">
      <c r="A149" s="17"/>
      <c r="B149" s="18"/>
      <c r="C149" s="18"/>
      <c r="D149" s="18"/>
      <c r="E149" s="18"/>
      <c r="F149" s="19"/>
      <c r="G149" s="19"/>
      <c r="H149" s="15" t="str">
        <f aca="false">IF(AND(F149="",G149=""),"",N(F149)+N(G149))</f>
        <v/>
      </c>
      <c r="I149" s="18"/>
      <c r="J149" s="18"/>
      <c r="K149" s="20"/>
      <c r="L149" s="18"/>
    </row>
    <row r="150" customFormat="false" ht="15" hidden="false" customHeight="false" outlineLevel="0" collapsed="false">
      <c r="A150" s="17"/>
      <c r="B150" s="18"/>
      <c r="C150" s="18"/>
      <c r="D150" s="18"/>
      <c r="E150" s="18"/>
      <c r="F150" s="19"/>
      <c r="G150" s="19"/>
      <c r="H150" s="15" t="str">
        <f aca="false">IF(AND(F150="",G150=""),"",N(F150)+N(G150))</f>
        <v/>
      </c>
      <c r="I150" s="18"/>
      <c r="J150" s="18"/>
      <c r="K150" s="20"/>
      <c r="L150" s="18"/>
    </row>
    <row r="151" customFormat="false" ht="15" hidden="false" customHeight="false" outlineLevel="0" collapsed="false">
      <c r="A151" s="17"/>
      <c r="B151" s="18"/>
      <c r="C151" s="18"/>
      <c r="D151" s="18"/>
      <c r="E151" s="18"/>
      <c r="F151" s="19"/>
      <c r="G151" s="19"/>
      <c r="H151" s="15" t="str">
        <f aca="false">IF(AND(F151="",G151=""),"",N(F151)+N(G151))</f>
        <v/>
      </c>
      <c r="I151" s="18"/>
      <c r="J151" s="18"/>
      <c r="K151" s="20"/>
      <c r="L151" s="18"/>
    </row>
    <row r="152" customFormat="false" ht="15" hidden="false" customHeight="false" outlineLevel="0" collapsed="false">
      <c r="A152" s="17"/>
      <c r="B152" s="18"/>
      <c r="C152" s="18"/>
      <c r="D152" s="18"/>
      <c r="E152" s="18"/>
      <c r="F152" s="19"/>
      <c r="G152" s="19"/>
      <c r="H152" s="15" t="str">
        <f aca="false">IF(AND(F152="",G152=""),"",N(F152)+N(G152))</f>
        <v/>
      </c>
      <c r="I152" s="18"/>
      <c r="J152" s="18"/>
      <c r="K152" s="20"/>
      <c r="L152" s="18"/>
    </row>
    <row r="153" customFormat="false" ht="15" hidden="false" customHeight="false" outlineLevel="0" collapsed="false">
      <c r="A153" s="17"/>
      <c r="B153" s="18"/>
      <c r="C153" s="18"/>
      <c r="D153" s="18"/>
      <c r="E153" s="18"/>
      <c r="F153" s="19"/>
      <c r="G153" s="19"/>
      <c r="H153" s="15" t="str">
        <f aca="false">IF(AND(F153="",G153=""),"",N(F153)+N(G153))</f>
        <v/>
      </c>
      <c r="I153" s="18"/>
      <c r="J153" s="18"/>
      <c r="K153" s="20"/>
      <c r="L153" s="18"/>
    </row>
    <row r="154" customFormat="false" ht="15" hidden="false" customHeight="false" outlineLevel="0" collapsed="false">
      <c r="A154" s="17"/>
      <c r="B154" s="18"/>
      <c r="C154" s="18"/>
      <c r="D154" s="18"/>
      <c r="E154" s="18"/>
      <c r="F154" s="19"/>
      <c r="G154" s="19"/>
      <c r="H154" s="15" t="str">
        <f aca="false">IF(AND(F154="",G154=""),"",N(F154)+N(G154))</f>
        <v/>
      </c>
      <c r="I154" s="18"/>
      <c r="J154" s="18"/>
      <c r="K154" s="20"/>
      <c r="L154" s="18"/>
    </row>
    <row r="155" customFormat="false" ht="15" hidden="false" customHeight="false" outlineLevel="0" collapsed="false">
      <c r="A155" s="17"/>
      <c r="B155" s="18"/>
      <c r="C155" s="18"/>
      <c r="D155" s="18"/>
      <c r="E155" s="18"/>
      <c r="F155" s="19"/>
      <c r="G155" s="19"/>
      <c r="H155" s="15" t="str">
        <f aca="false">IF(AND(F155="",G155=""),"",N(F155)+N(G155))</f>
        <v/>
      </c>
      <c r="I155" s="18"/>
      <c r="J155" s="18"/>
      <c r="K155" s="20"/>
      <c r="L155" s="18"/>
    </row>
    <row r="156" customFormat="false" ht="15" hidden="false" customHeight="false" outlineLevel="0" collapsed="false">
      <c r="A156" s="17"/>
      <c r="B156" s="18"/>
      <c r="C156" s="18"/>
      <c r="D156" s="18"/>
      <c r="E156" s="18"/>
      <c r="F156" s="19"/>
      <c r="G156" s="19"/>
      <c r="H156" s="15" t="str">
        <f aca="false">IF(AND(F156="",G156=""),"",N(F156)+N(G156))</f>
        <v/>
      </c>
      <c r="I156" s="18"/>
      <c r="J156" s="18"/>
      <c r="K156" s="20"/>
      <c r="L156" s="18"/>
    </row>
    <row r="157" customFormat="false" ht="15" hidden="false" customHeight="false" outlineLevel="0" collapsed="false">
      <c r="A157" s="17"/>
      <c r="B157" s="18"/>
      <c r="C157" s="18"/>
      <c r="D157" s="18"/>
      <c r="E157" s="18"/>
      <c r="F157" s="19"/>
      <c r="G157" s="19"/>
      <c r="H157" s="15" t="str">
        <f aca="false">IF(AND(F157="",G157=""),"",N(F157)+N(G157))</f>
        <v/>
      </c>
      <c r="I157" s="18"/>
      <c r="J157" s="18"/>
      <c r="K157" s="20"/>
      <c r="L157" s="18"/>
    </row>
    <row r="158" customFormat="false" ht="15" hidden="false" customHeight="false" outlineLevel="0" collapsed="false">
      <c r="A158" s="17"/>
      <c r="B158" s="18"/>
      <c r="C158" s="18"/>
      <c r="D158" s="18"/>
      <c r="E158" s="18"/>
      <c r="F158" s="19"/>
      <c r="G158" s="19"/>
      <c r="H158" s="15" t="str">
        <f aca="false">IF(AND(F158="",G158=""),"",N(F158)+N(G158))</f>
        <v/>
      </c>
      <c r="I158" s="18"/>
      <c r="J158" s="18"/>
      <c r="K158" s="20"/>
      <c r="L158" s="18"/>
    </row>
    <row r="159" customFormat="false" ht="15" hidden="false" customHeight="false" outlineLevel="0" collapsed="false">
      <c r="A159" s="17"/>
      <c r="B159" s="18"/>
      <c r="C159" s="18"/>
      <c r="D159" s="18"/>
      <c r="E159" s="18"/>
      <c r="F159" s="19"/>
      <c r="G159" s="19"/>
      <c r="H159" s="15" t="str">
        <f aca="false">IF(AND(F159="",G159=""),"",N(F159)+N(G159))</f>
        <v/>
      </c>
      <c r="I159" s="18"/>
      <c r="J159" s="18"/>
      <c r="K159" s="20"/>
      <c r="L159" s="18"/>
    </row>
    <row r="160" customFormat="false" ht="15" hidden="false" customHeight="false" outlineLevel="0" collapsed="false">
      <c r="A160" s="17"/>
      <c r="B160" s="18"/>
      <c r="C160" s="18"/>
      <c r="D160" s="18"/>
      <c r="E160" s="18"/>
      <c r="F160" s="19"/>
      <c r="G160" s="19"/>
      <c r="H160" s="15" t="str">
        <f aca="false">IF(AND(F160="",G160=""),"",N(F160)+N(G160))</f>
        <v/>
      </c>
      <c r="I160" s="18"/>
      <c r="J160" s="18"/>
      <c r="K160" s="20"/>
      <c r="L160" s="18"/>
    </row>
    <row r="161" customFormat="false" ht="15" hidden="false" customHeight="false" outlineLevel="0" collapsed="false">
      <c r="A161" s="17"/>
      <c r="B161" s="18"/>
      <c r="C161" s="18"/>
      <c r="D161" s="18"/>
      <c r="E161" s="18"/>
      <c r="F161" s="19"/>
      <c r="G161" s="19"/>
      <c r="H161" s="15" t="str">
        <f aca="false">IF(AND(F161="",G161=""),"",N(F161)+N(G161))</f>
        <v/>
      </c>
      <c r="I161" s="18"/>
      <c r="J161" s="18"/>
      <c r="K161" s="20"/>
      <c r="L161" s="18"/>
    </row>
    <row r="162" customFormat="false" ht="15" hidden="false" customHeight="false" outlineLevel="0" collapsed="false">
      <c r="A162" s="17"/>
      <c r="B162" s="18"/>
      <c r="C162" s="18"/>
      <c r="D162" s="18"/>
      <c r="E162" s="18"/>
      <c r="F162" s="19"/>
      <c r="G162" s="19"/>
      <c r="H162" s="15" t="str">
        <f aca="false">IF(AND(F162="",G162=""),"",N(F162)+N(G162))</f>
        <v/>
      </c>
      <c r="I162" s="18"/>
      <c r="J162" s="18"/>
      <c r="K162" s="20"/>
      <c r="L162" s="18"/>
    </row>
    <row r="163" customFormat="false" ht="15" hidden="false" customHeight="false" outlineLevel="0" collapsed="false">
      <c r="A163" s="17"/>
      <c r="B163" s="18"/>
      <c r="C163" s="18"/>
      <c r="D163" s="18"/>
      <c r="E163" s="18"/>
      <c r="F163" s="19"/>
      <c r="G163" s="19"/>
      <c r="H163" s="15" t="str">
        <f aca="false">IF(AND(F163="",G163=""),"",N(F163)+N(G163))</f>
        <v/>
      </c>
      <c r="I163" s="18"/>
      <c r="J163" s="18"/>
      <c r="K163" s="20"/>
      <c r="L163" s="18"/>
    </row>
    <row r="164" customFormat="false" ht="15" hidden="false" customHeight="false" outlineLevel="0" collapsed="false">
      <c r="A164" s="17"/>
      <c r="B164" s="18"/>
      <c r="C164" s="18"/>
      <c r="D164" s="18"/>
      <c r="E164" s="18"/>
      <c r="F164" s="19"/>
      <c r="G164" s="19"/>
      <c r="H164" s="15" t="str">
        <f aca="false">IF(AND(F164="",G164=""),"",N(F164)+N(G164))</f>
        <v/>
      </c>
      <c r="I164" s="18"/>
      <c r="J164" s="18"/>
      <c r="K164" s="20"/>
      <c r="L164" s="18"/>
    </row>
    <row r="165" customFormat="false" ht="15" hidden="false" customHeight="false" outlineLevel="0" collapsed="false">
      <c r="A165" s="17"/>
      <c r="B165" s="18"/>
      <c r="C165" s="18"/>
      <c r="D165" s="18"/>
      <c r="E165" s="18"/>
      <c r="F165" s="19"/>
      <c r="G165" s="19"/>
      <c r="H165" s="15" t="str">
        <f aca="false">IF(AND(F165="",G165=""),"",N(F165)+N(G165))</f>
        <v/>
      </c>
      <c r="I165" s="18"/>
      <c r="J165" s="18"/>
      <c r="K165" s="20"/>
      <c r="L165" s="18"/>
    </row>
    <row r="166" customFormat="false" ht="15" hidden="false" customHeight="false" outlineLevel="0" collapsed="false">
      <c r="A166" s="17"/>
      <c r="B166" s="18"/>
      <c r="C166" s="18"/>
      <c r="D166" s="18"/>
      <c r="E166" s="18"/>
      <c r="F166" s="19"/>
      <c r="G166" s="19"/>
      <c r="H166" s="15" t="str">
        <f aca="false">IF(AND(F166="",G166=""),"",N(F166)+N(G166))</f>
        <v/>
      </c>
      <c r="I166" s="18"/>
      <c r="J166" s="18"/>
      <c r="K166" s="20"/>
      <c r="L166" s="18"/>
    </row>
    <row r="167" customFormat="false" ht="15" hidden="false" customHeight="false" outlineLevel="0" collapsed="false">
      <c r="A167" s="17"/>
      <c r="B167" s="18"/>
      <c r="C167" s="18"/>
      <c r="D167" s="18"/>
      <c r="E167" s="18"/>
      <c r="F167" s="19"/>
      <c r="G167" s="19"/>
      <c r="H167" s="15" t="str">
        <f aca="false">IF(AND(F167="",G167=""),"",N(F167)+N(G167))</f>
        <v/>
      </c>
      <c r="I167" s="18"/>
      <c r="J167" s="18"/>
      <c r="K167" s="20"/>
      <c r="L167" s="18"/>
    </row>
    <row r="168" customFormat="false" ht="15" hidden="false" customHeight="false" outlineLevel="0" collapsed="false">
      <c r="A168" s="17"/>
      <c r="B168" s="18"/>
      <c r="C168" s="18"/>
      <c r="D168" s="18"/>
      <c r="E168" s="18"/>
      <c r="F168" s="19"/>
      <c r="G168" s="19"/>
      <c r="H168" s="15" t="str">
        <f aca="false">IF(AND(F168="",G168=""),"",N(F168)+N(G168))</f>
        <v/>
      </c>
      <c r="I168" s="18"/>
      <c r="J168" s="18"/>
      <c r="K168" s="20"/>
      <c r="L168" s="18"/>
    </row>
    <row r="169" customFormat="false" ht="15" hidden="false" customHeight="false" outlineLevel="0" collapsed="false">
      <c r="A169" s="17"/>
      <c r="B169" s="18"/>
      <c r="C169" s="18"/>
      <c r="D169" s="18"/>
      <c r="E169" s="18"/>
      <c r="F169" s="19"/>
      <c r="G169" s="19"/>
      <c r="H169" s="15" t="str">
        <f aca="false">IF(AND(F169="",G169=""),"",N(F169)+N(G169))</f>
        <v/>
      </c>
      <c r="I169" s="18"/>
      <c r="J169" s="18"/>
      <c r="K169" s="20"/>
      <c r="L169" s="18"/>
    </row>
    <row r="170" customFormat="false" ht="15" hidden="false" customHeight="false" outlineLevel="0" collapsed="false">
      <c r="A170" s="17"/>
      <c r="B170" s="18"/>
      <c r="C170" s="18"/>
      <c r="D170" s="18"/>
      <c r="E170" s="18"/>
      <c r="F170" s="19"/>
      <c r="G170" s="19"/>
      <c r="H170" s="15" t="str">
        <f aca="false">IF(AND(F170="",G170=""),"",N(F170)+N(G170))</f>
        <v/>
      </c>
      <c r="I170" s="18"/>
      <c r="J170" s="18"/>
      <c r="K170" s="20"/>
      <c r="L170" s="18"/>
    </row>
    <row r="171" customFormat="false" ht="15" hidden="false" customHeight="false" outlineLevel="0" collapsed="false">
      <c r="A171" s="17"/>
      <c r="B171" s="18"/>
      <c r="C171" s="18"/>
      <c r="D171" s="18"/>
      <c r="E171" s="18"/>
      <c r="F171" s="19"/>
      <c r="G171" s="19"/>
      <c r="H171" s="15" t="str">
        <f aca="false">IF(AND(F171="",G171=""),"",N(F171)+N(G171))</f>
        <v/>
      </c>
      <c r="I171" s="18"/>
      <c r="J171" s="18"/>
      <c r="K171" s="20"/>
      <c r="L171" s="18"/>
    </row>
    <row r="172" customFormat="false" ht="15" hidden="false" customHeight="false" outlineLevel="0" collapsed="false">
      <c r="A172" s="17"/>
      <c r="B172" s="18"/>
      <c r="C172" s="18"/>
      <c r="D172" s="18"/>
      <c r="E172" s="18"/>
      <c r="F172" s="19"/>
      <c r="G172" s="19"/>
      <c r="H172" s="15" t="str">
        <f aca="false">IF(AND(F172="",G172=""),"",N(F172)+N(G172))</f>
        <v/>
      </c>
      <c r="I172" s="18"/>
      <c r="J172" s="18"/>
      <c r="K172" s="20"/>
      <c r="L172" s="18"/>
    </row>
    <row r="173" customFormat="false" ht="15" hidden="false" customHeight="false" outlineLevel="0" collapsed="false">
      <c r="A173" s="17"/>
      <c r="B173" s="18"/>
      <c r="C173" s="18"/>
      <c r="D173" s="18"/>
      <c r="E173" s="18"/>
      <c r="F173" s="19"/>
      <c r="G173" s="19"/>
      <c r="H173" s="15" t="str">
        <f aca="false">IF(AND(F173="",G173=""),"",N(F173)+N(G173))</f>
        <v/>
      </c>
      <c r="I173" s="18"/>
      <c r="J173" s="18"/>
      <c r="K173" s="20"/>
      <c r="L173" s="18"/>
    </row>
    <row r="174" customFormat="false" ht="15" hidden="false" customHeight="false" outlineLevel="0" collapsed="false">
      <c r="A174" s="17"/>
      <c r="B174" s="18"/>
      <c r="C174" s="18"/>
      <c r="D174" s="18"/>
      <c r="E174" s="18"/>
      <c r="F174" s="19"/>
      <c r="G174" s="19"/>
      <c r="H174" s="15" t="str">
        <f aca="false">IF(AND(F174="",G174=""),"",N(F174)+N(G174))</f>
        <v/>
      </c>
      <c r="I174" s="18"/>
      <c r="J174" s="18"/>
      <c r="K174" s="20"/>
      <c r="L174" s="18"/>
    </row>
    <row r="175" customFormat="false" ht="15" hidden="false" customHeight="false" outlineLevel="0" collapsed="false">
      <c r="A175" s="17"/>
      <c r="B175" s="18"/>
      <c r="C175" s="18"/>
      <c r="D175" s="18"/>
      <c r="E175" s="18"/>
      <c r="F175" s="19"/>
      <c r="G175" s="19"/>
      <c r="H175" s="15" t="str">
        <f aca="false">IF(AND(F175="",G175=""),"",N(F175)+N(G175))</f>
        <v/>
      </c>
      <c r="I175" s="18"/>
      <c r="J175" s="18"/>
      <c r="K175" s="20"/>
      <c r="L175" s="18"/>
    </row>
    <row r="176" customFormat="false" ht="15" hidden="false" customHeight="false" outlineLevel="0" collapsed="false">
      <c r="A176" s="17"/>
      <c r="B176" s="18"/>
      <c r="C176" s="18"/>
      <c r="D176" s="18"/>
      <c r="E176" s="18"/>
      <c r="F176" s="19"/>
      <c r="G176" s="19"/>
      <c r="H176" s="15" t="str">
        <f aca="false">IF(AND(F176="",G176=""),"",N(F176)+N(G176))</f>
        <v/>
      </c>
      <c r="I176" s="18"/>
      <c r="J176" s="18"/>
      <c r="K176" s="20"/>
      <c r="L176" s="18"/>
    </row>
    <row r="177" customFormat="false" ht="15" hidden="false" customHeight="false" outlineLevel="0" collapsed="false">
      <c r="A177" s="17"/>
      <c r="B177" s="18"/>
      <c r="C177" s="18"/>
      <c r="D177" s="18"/>
      <c r="E177" s="18"/>
      <c r="F177" s="19"/>
      <c r="G177" s="19"/>
      <c r="H177" s="15" t="str">
        <f aca="false">IF(AND(F177="",G177=""),"",N(F177)+N(G177))</f>
        <v/>
      </c>
      <c r="I177" s="18"/>
      <c r="J177" s="18"/>
      <c r="K177" s="20"/>
      <c r="L177" s="18"/>
    </row>
    <row r="178" customFormat="false" ht="15" hidden="false" customHeight="false" outlineLevel="0" collapsed="false">
      <c r="A178" s="17"/>
      <c r="B178" s="18"/>
      <c r="C178" s="18"/>
      <c r="D178" s="18"/>
      <c r="E178" s="18"/>
      <c r="F178" s="19"/>
      <c r="G178" s="19"/>
      <c r="H178" s="15" t="str">
        <f aca="false">IF(AND(F178="",G178=""),"",N(F178)+N(G178))</f>
        <v/>
      </c>
      <c r="I178" s="18"/>
      <c r="J178" s="18"/>
      <c r="K178" s="20"/>
      <c r="L178" s="18"/>
    </row>
    <row r="179" customFormat="false" ht="15" hidden="false" customHeight="false" outlineLevel="0" collapsed="false">
      <c r="A179" s="17"/>
      <c r="B179" s="18"/>
      <c r="C179" s="18"/>
      <c r="D179" s="18"/>
      <c r="E179" s="18"/>
      <c r="F179" s="19"/>
      <c r="G179" s="19"/>
      <c r="H179" s="15" t="str">
        <f aca="false">IF(AND(F179="",G179=""),"",N(F179)+N(G179))</f>
        <v/>
      </c>
      <c r="I179" s="18"/>
      <c r="J179" s="18"/>
      <c r="K179" s="20"/>
      <c r="L179" s="18"/>
    </row>
    <row r="180" customFormat="false" ht="15" hidden="false" customHeight="false" outlineLevel="0" collapsed="false">
      <c r="A180" s="17"/>
      <c r="B180" s="18"/>
      <c r="C180" s="18"/>
      <c r="D180" s="18"/>
      <c r="E180" s="18"/>
      <c r="F180" s="19"/>
      <c r="G180" s="19"/>
      <c r="H180" s="15" t="str">
        <f aca="false">IF(AND(F180="",G180=""),"",N(F180)+N(G180))</f>
        <v/>
      </c>
      <c r="I180" s="18"/>
      <c r="J180" s="18"/>
      <c r="K180" s="20"/>
      <c r="L180" s="18"/>
    </row>
    <row r="181" customFormat="false" ht="15" hidden="false" customHeight="false" outlineLevel="0" collapsed="false">
      <c r="A181" s="17"/>
      <c r="B181" s="18"/>
      <c r="C181" s="18"/>
      <c r="D181" s="18"/>
      <c r="E181" s="18"/>
      <c r="F181" s="19"/>
      <c r="G181" s="19"/>
      <c r="H181" s="15" t="str">
        <f aca="false">IF(AND(F181="",G181=""),"",N(F181)+N(G181))</f>
        <v/>
      </c>
      <c r="I181" s="18"/>
      <c r="J181" s="18"/>
      <c r="K181" s="20"/>
      <c r="L181" s="18"/>
    </row>
    <row r="182" customFormat="false" ht="15" hidden="false" customHeight="false" outlineLevel="0" collapsed="false">
      <c r="A182" s="17"/>
      <c r="B182" s="18"/>
      <c r="C182" s="18"/>
      <c r="D182" s="18"/>
      <c r="E182" s="18"/>
      <c r="F182" s="19"/>
      <c r="G182" s="19"/>
      <c r="H182" s="15" t="str">
        <f aca="false">IF(AND(F182="",G182=""),"",N(F182)+N(G182))</f>
        <v/>
      </c>
      <c r="I182" s="18"/>
      <c r="J182" s="18"/>
      <c r="K182" s="20"/>
      <c r="L182" s="18"/>
    </row>
    <row r="183" customFormat="false" ht="15" hidden="false" customHeight="false" outlineLevel="0" collapsed="false">
      <c r="A183" s="17"/>
      <c r="B183" s="18"/>
      <c r="C183" s="18"/>
      <c r="D183" s="18"/>
      <c r="E183" s="18"/>
      <c r="F183" s="19"/>
      <c r="G183" s="19"/>
      <c r="H183" s="15" t="str">
        <f aca="false">IF(AND(F183="",G183=""),"",N(F183)+N(G183))</f>
        <v/>
      </c>
      <c r="I183" s="18"/>
      <c r="J183" s="18"/>
      <c r="K183" s="20"/>
      <c r="L183" s="18"/>
    </row>
    <row r="184" customFormat="false" ht="15" hidden="false" customHeight="false" outlineLevel="0" collapsed="false">
      <c r="A184" s="17"/>
      <c r="B184" s="18"/>
      <c r="C184" s="18"/>
      <c r="D184" s="18"/>
      <c r="E184" s="18"/>
      <c r="F184" s="19"/>
      <c r="G184" s="19"/>
      <c r="H184" s="15" t="str">
        <f aca="false">IF(AND(F184="",G184=""),"",N(F184)+N(G184))</f>
        <v/>
      </c>
      <c r="I184" s="18"/>
      <c r="J184" s="18"/>
      <c r="K184" s="20"/>
      <c r="L184" s="18"/>
    </row>
    <row r="185" customFormat="false" ht="15" hidden="false" customHeight="false" outlineLevel="0" collapsed="false">
      <c r="A185" s="17"/>
      <c r="B185" s="18"/>
      <c r="C185" s="18"/>
      <c r="D185" s="18"/>
      <c r="E185" s="18"/>
      <c r="F185" s="19"/>
      <c r="G185" s="19"/>
      <c r="H185" s="15" t="str">
        <f aca="false">IF(AND(F185="",G185=""),"",N(F185)+N(G185))</f>
        <v/>
      </c>
      <c r="I185" s="18"/>
      <c r="J185" s="18"/>
      <c r="K185" s="20"/>
      <c r="L185" s="18"/>
    </row>
    <row r="186" customFormat="false" ht="15" hidden="false" customHeight="false" outlineLevel="0" collapsed="false">
      <c r="A186" s="17"/>
      <c r="B186" s="18"/>
      <c r="C186" s="18"/>
      <c r="D186" s="18"/>
      <c r="E186" s="18"/>
      <c r="F186" s="19"/>
      <c r="G186" s="19"/>
      <c r="H186" s="15" t="str">
        <f aca="false">IF(AND(F186="",G186=""),"",N(F186)+N(G186))</f>
        <v/>
      </c>
      <c r="I186" s="18"/>
      <c r="J186" s="18"/>
      <c r="K186" s="20"/>
      <c r="L186" s="18"/>
    </row>
    <row r="187" customFormat="false" ht="15" hidden="false" customHeight="false" outlineLevel="0" collapsed="false">
      <c r="A187" s="17"/>
      <c r="B187" s="18"/>
      <c r="C187" s="18"/>
      <c r="D187" s="18"/>
      <c r="E187" s="18"/>
      <c r="F187" s="19"/>
      <c r="G187" s="19"/>
      <c r="H187" s="15" t="str">
        <f aca="false">IF(AND(F187="",G187=""),"",N(F187)+N(G187))</f>
        <v/>
      </c>
      <c r="I187" s="18"/>
      <c r="J187" s="18"/>
      <c r="K187" s="20"/>
      <c r="L187" s="18"/>
    </row>
    <row r="188" customFormat="false" ht="15" hidden="false" customHeight="false" outlineLevel="0" collapsed="false">
      <c r="A188" s="17"/>
      <c r="B188" s="18"/>
      <c r="C188" s="18"/>
      <c r="D188" s="18"/>
      <c r="E188" s="18"/>
      <c r="F188" s="19"/>
      <c r="G188" s="19"/>
      <c r="H188" s="15" t="str">
        <f aca="false">IF(AND(F188="",G188=""),"",N(F188)+N(G188))</f>
        <v/>
      </c>
      <c r="I188" s="18"/>
      <c r="J188" s="18"/>
      <c r="K188" s="20"/>
      <c r="L188" s="18"/>
    </row>
    <row r="189" customFormat="false" ht="15" hidden="false" customHeight="false" outlineLevel="0" collapsed="false">
      <c r="A189" s="17"/>
      <c r="B189" s="18"/>
      <c r="C189" s="18"/>
      <c r="D189" s="18"/>
      <c r="E189" s="18"/>
      <c r="F189" s="19"/>
      <c r="G189" s="19"/>
      <c r="H189" s="15" t="str">
        <f aca="false">IF(AND(F189="",G189=""),"",N(F189)+N(G189))</f>
        <v/>
      </c>
      <c r="I189" s="18"/>
      <c r="J189" s="18"/>
      <c r="K189" s="20"/>
      <c r="L189" s="18"/>
    </row>
    <row r="190" customFormat="false" ht="15" hidden="false" customHeight="false" outlineLevel="0" collapsed="false">
      <c r="A190" s="17"/>
      <c r="B190" s="18"/>
      <c r="C190" s="18"/>
      <c r="D190" s="18"/>
      <c r="E190" s="18"/>
      <c r="F190" s="19"/>
      <c r="G190" s="19"/>
      <c r="H190" s="15" t="str">
        <f aca="false">IF(AND(F190="",G190=""),"",N(F190)+N(G190))</f>
        <v/>
      </c>
      <c r="I190" s="18"/>
      <c r="J190" s="18"/>
      <c r="K190" s="20"/>
      <c r="L190" s="18"/>
    </row>
    <row r="191" customFormat="false" ht="15" hidden="false" customHeight="false" outlineLevel="0" collapsed="false">
      <c r="A191" s="17"/>
      <c r="B191" s="18"/>
      <c r="C191" s="18"/>
      <c r="D191" s="18"/>
      <c r="E191" s="18"/>
      <c r="F191" s="19"/>
      <c r="G191" s="19"/>
      <c r="H191" s="15" t="str">
        <f aca="false">IF(AND(F191="",G191=""),"",N(F191)+N(G191))</f>
        <v/>
      </c>
      <c r="I191" s="18"/>
      <c r="J191" s="18"/>
      <c r="K191" s="20"/>
      <c r="L191" s="18"/>
    </row>
    <row r="192" customFormat="false" ht="15" hidden="false" customHeight="false" outlineLevel="0" collapsed="false">
      <c r="A192" s="17"/>
      <c r="B192" s="18"/>
      <c r="C192" s="18"/>
      <c r="D192" s="18"/>
      <c r="E192" s="18"/>
      <c r="F192" s="19"/>
      <c r="G192" s="19"/>
      <c r="H192" s="15" t="str">
        <f aca="false">IF(AND(F192="",G192=""),"",N(F192)+N(G192))</f>
        <v/>
      </c>
      <c r="I192" s="18"/>
      <c r="J192" s="18"/>
      <c r="K192" s="20"/>
      <c r="L192" s="18"/>
    </row>
    <row r="193" customFormat="false" ht="15" hidden="false" customHeight="false" outlineLevel="0" collapsed="false">
      <c r="A193" s="17"/>
      <c r="B193" s="18"/>
      <c r="C193" s="18"/>
      <c r="D193" s="18"/>
      <c r="E193" s="18"/>
      <c r="F193" s="19"/>
      <c r="G193" s="19"/>
      <c r="H193" s="15" t="str">
        <f aca="false">IF(AND(F193="",G193=""),"",N(F193)+N(G193))</f>
        <v/>
      </c>
      <c r="I193" s="18"/>
      <c r="J193" s="18"/>
      <c r="K193" s="20"/>
      <c r="L193" s="18"/>
    </row>
    <row r="194" customFormat="false" ht="15" hidden="false" customHeight="false" outlineLevel="0" collapsed="false">
      <c r="A194" s="17"/>
      <c r="B194" s="18"/>
      <c r="C194" s="18"/>
      <c r="D194" s="18"/>
      <c r="E194" s="18"/>
      <c r="F194" s="19"/>
      <c r="G194" s="19"/>
      <c r="H194" s="15" t="str">
        <f aca="false">IF(AND(F194="",G194=""),"",N(F194)+N(G194))</f>
        <v/>
      </c>
      <c r="I194" s="18"/>
      <c r="J194" s="18"/>
      <c r="K194" s="20"/>
      <c r="L194" s="18"/>
    </row>
    <row r="195" customFormat="false" ht="15" hidden="false" customHeight="false" outlineLevel="0" collapsed="false">
      <c r="A195" s="17"/>
      <c r="B195" s="18"/>
      <c r="C195" s="18"/>
      <c r="D195" s="18"/>
      <c r="E195" s="18"/>
      <c r="F195" s="19"/>
      <c r="G195" s="19"/>
      <c r="H195" s="15" t="str">
        <f aca="false">IF(AND(F195="",G195=""),"",N(F195)+N(G195))</f>
        <v/>
      </c>
      <c r="I195" s="18"/>
      <c r="J195" s="18"/>
      <c r="K195" s="20"/>
      <c r="L195" s="18"/>
    </row>
    <row r="196" customFormat="false" ht="15" hidden="false" customHeight="false" outlineLevel="0" collapsed="false">
      <c r="A196" s="17"/>
      <c r="B196" s="18"/>
      <c r="C196" s="18"/>
      <c r="D196" s="18"/>
      <c r="E196" s="18"/>
      <c r="F196" s="19"/>
      <c r="G196" s="19"/>
      <c r="H196" s="15" t="str">
        <f aca="false">IF(AND(F196="",G196=""),"",N(F196)+N(G196))</f>
        <v/>
      </c>
      <c r="I196" s="18"/>
      <c r="J196" s="18"/>
      <c r="K196" s="20"/>
      <c r="L196" s="18"/>
    </row>
    <row r="197" customFormat="false" ht="15" hidden="false" customHeight="false" outlineLevel="0" collapsed="false">
      <c r="A197" s="17"/>
      <c r="B197" s="18"/>
      <c r="C197" s="18"/>
      <c r="D197" s="18"/>
      <c r="E197" s="18"/>
      <c r="F197" s="19"/>
      <c r="G197" s="19"/>
      <c r="H197" s="15" t="str">
        <f aca="false">IF(AND(F197="",G197=""),"",N(F197)+N(G197))</f>
        <v/>
      </c>
      <c r="I197" s="18"/>
      <c r="J197" s="18"/>
      <c r="K197" s="20"/>
      <c r="L197" s="18"/>
    </row>
    <row r="198" customFormat="false" ht="15" hidden="false" customHeight="false" outlineLevel="0" collapsed="false">
      <c r="A198" s="17"/>
      <c r="B198" s="18"/>
      <c r="C198" s="18"/>
      <c r="D198" s="18"/>
      <c r="E198" s="18"/>
      <c r="F198" s="19"/>
      <c r="G198" s="19"/>
      <c r="H198" s="15" t="str">
        <f aca="false">IF(AND(F198="",G198=""),"",N(F198)+N(G198))</f>
        <v/>
      </c>
      <c r="I198" s="18"/>
      <c r="J198" s="18"/>
      <c r="K198" s="20"/>
      <c r="L198" s="18"/>
    </row>
    <row r="199" customFormat="false" ht="15" hidden="false" customHeight="false" outlineLevel="0" collapsed="false">
      <c r="A199" s="17"/>
      <c r="B199" s="18"/>
      <c r="C199" s="18"/>
      <c r="D199" s="18"/>
      <c r="E199" s="18"/>
      <c r="F199" s="19"/>
      <c r="G199" s="19"/>
      <c r="H199" s="15" t="str">
        <f aca="false">IF(AND(F199="",G199=""),"",N(F199)+N(G199))</f>
        <v/>
      </c>
      <c r="I199" s="18"/>
      <c r="J199" s="18"/>
      <c r="K199" s="20"/>
      <c r="L199" s="18"/>
    </row>
    <row r="200" customFormat="false" ht="15" hidden="false" customHeight="false" outlineLevel="0" collapsed="false">
      <c r="A200" s="17"/>
      <c r="B200" s="18"/>
      <c r="C200" s="18"/>
      <c r="D200" s="18"/>
      <c r="E200" s="18"/>
      <c r="F200" s="19"/>
      <c r="G200" s="19"/>
      <c r="H200" s="15" t="str">
        <f aca="false">IF(AND(F200="",G200=""),"",N(F200)+N(G200))</f>
        <v/>
      </c>
      <c r="I200" s="18"/>
      <c r="J200" s="18"/>
      <c r="K200" s="20"/>
      <c r="L200" s="18"/>
    </row>
    <row r="201" customFormat="false" ht="15" hidden="false" customHeight="false" outlineLevel="0" collapsed="false">
      <c r="A201" s="17"/>
      <c r="B201" s="18"/>
      <c r="C201" s="18"/>
      <c r="D201" s="18"/>
      <c r="E201" s="18"/>
      <c r="F201" s="19"/>
      <c r="G201" s="19"/>
      <c r="H201" s="15" t="str">
        <f aca="false">IF(AND(F201="",G201=""),"",N(F201)+N(G201))</f>
        <v/>
      </c>
      <c r="I201" s="18"/>
      <c r="J201" s="18"/>
      <c r="K201" s="20"/>
      <c r="L201" s="18"/>
    </row>
    <row r="202" customFormat="false" ht="15" hidden="false" customHeight="false" outlineLevel="0" collapsed="false">
      <c r="A202" s="17"/>
      <c r="B202" s="18"/>
      <c r="C202" s="18"/>
      <c r="D202" s="18"/>
      <c r="E202" s="18"/>
      <c r="F202" s="19"/>
      <c r="G202" s="19"/>
      <c r="H202" s="15" t="str">
        <f aca="false">IF(AND(F202="",G202=""),"",N(F202)+N(G202))</f>
        <v/>
      </c>
      <c r="I202" s="18"/>
      <c r="J202" s="18"/>
      <c r="K202" s="20"/>
      <c r="L202" s="18"/>
    </row>
    <row r="203" customFormat="false" ht="15" hidden="false" customHeight="false" outlineLevel="0" collapsed="false">
      <c r="A203" s="17"/>
      <c r="B203" s="18"/>
      <c r="C203" s="18"/>
      <c r="D203" s="18"/>
      <c r="E203" s="18"/>
      <c r="F203" s="19"/>
      <c r="G203" s="19"/>
      <c r="H203" s="15" t="str">
        <f aca="false">IF(AND(F203="",G203=""),"",N(F203)+N(G203))</f>
        <v/>
      </c>
      <c r="I203" s="18"/>
      <c r="J203" s="18"/>
      <c r="K203" s="20"/>
      <c r="L203" s="18"/>
    </row>
    <row r="204" customFormat="false" ht="15" hidden="false" customHeight="false" outlineLevel="0" collapsed="false">
      <c r="A204" s="17"/>
      <c r="B204" s="18"/>
      <c r="C204" s="18"/>
      <c r="D204" s="18"/>
      <c r="E204" s="18"/>
      <c r="F204" s="19"/>
      <c r="G204" s="19"/>
      <c r="H204" s="15" t="str">
        <f aca="false">IF(AND(F204="",G204=""),"",N(F204)+N(G204))</f>
        <v/>
      </c>
      <c r="I204" s="18"/>
      <c r="J204" s="18"/>
      <c r="K204" s="20"/>
      <c r="L204" s="18"/>
    </row>
    <row r="205" customFormat="false" ht="15" hidden="false" customHeight="false" outlineLevel="0" collapsed="false">
      <c r="A205" s="17"/>
      <c r="B205" s="18"/>
      <c r="C205" s="18"/>
      <c r="D205" s="18"/>
      <c r="E205" s="18"/>
      <c r="F205" s="19"/>
      <c r="G205" s="19"/>
      <c r="H205" s="15" t="str">
        <f aca="false">IF(AND(F205="",G205=""),"",N(F205)+N(G205))</f>
        <v/>
      </c>
      <c r="I205" s="18"/>
      <c r="J205" s="18"/>
      <c r="K205" s="20"/>
      <c r="L205" s="18"/>
    </row>
    <row r="206" customFormat="false" ht="15" hidden="false" customHeight="false" outlineLevel="0" collapsed="false">
      <c r="A206" s="17"/>
      <c r="B206" s="18"/>
      <c r="C206" s="18"/>
      <c r="D206" s="18"/>
      <c r="E206" s="18"/>
      <c r="F206" s="19"/>
      <c r="G206" s="19"/>
      <c r="H206" s="15" t="str">
        <f aca="false">IF(AND(F206="",G206=""),"",N(F206)+N(G206))</f>
        <v/>
      </c>
      <c r="I206" s="18"/>
      <c r="J206" s="18"/>
      <c r="K206" s="20"/>
      <c r="L206" s="18"/>
    </row>
    <row r="207" customFormat="false" ht="15" hidden="false" customHeight="false" outlineLevel="0" collapsed="false">
      <c r="A207" s="17"/>
      <c r="B207" s="18"/>
      <c r="C207" s="18"/>
      <c r="D207" s="18"/>
      <c r="E207" s="18"/>
      <c r="F207" s="19"/>
      <c r="G207" s="19"/>
      <c r="H207" s="15" t="str">
        <f aca="false">IF(AND(F207="",G207=""),"",N(F207)+N(G207))</f>
        <v/>
      </c>
      <c r="I207" s="18"/>
      <c r="J207" s="18"/>
      <c r="K207" s="20"/>
      <c r="L207" s="18"/>
    </row>
    <row r="208" customFormat="false" ht="15" hidden="false" customHeight="false" outlineLevel="0" collapsed="false">
      <c r="A208" s="17"/>
      <c r="B208" s="18"/>
      <c r="C208" s="18"/>
      <c r="D208" s="18"/>
      <c r="E208" s="18"/>
      <c r="F208" s="19"/>
      <c r="G208" s="19"/>
      <c r="H208" s="15" t="str">
        <f aca="false">IF(AND(F208="",G208=""),"",N(F208)+N(G208))</f>
        <v/>
      </c>
      <c r="I208" s="18"/>
      <c r="J208" s="18"/>
      <c r="K208" s="20"/>
      <c r="L208" s="18"/>
    </row>
    <row r="209" customFormat="false" ht="15" hidden="false" customHeight="false" outlineLevel="0" collapsed="false">
      <c r="A209" s="17"/>
      <c r="B209" s="18"/>
      <c r="C209" s="18"/>
      <c r="D209" s="18"/>
      <c r="E209" s="18"/>
      <c r="F209" s="19"/>
      <c r="G209" s="19"/>
      <c r="H209" s="15" t="str">
        <f aca="false">IF(AND(F209="",G209=""),"",N(F209)+N(G209))</f>
        <v/>
      </c>
      <c r="I209" s="18"/>
      <c r="J209" s="18"/>
      <c r="K209" s="20"/>
      <c r="L209" s="18"/>
    </row>
    <row r="210" customFormat="false" ht="15" hidden="false" customHeight="false" outlineLevel="0" collapsed="false">
      <c r="A210" s="17"/>
      <c r="B210" s="18"/>
      <c r="C210" s="18"/>
      <c r="D210" s="18"/>
      <c r="E210" s="18"/>
      <c r="F210" s="19"/>
      <c r="G210" s="19"/>
      <c r="H210" s="15" t="str">
        <f aca="false">IF(AND(F210="",G210=""),"",N(F210)+N(G210))</f>
        <v/>
      </c>
      <c r="I210" s="18"/>
      <c r="J210" s="18"/>
      <c r="K210" s="20"/>
      <c r="L210" s="18"/>
    </row>
    <row r="211" customFormat="false" ht="15" hidden="false" customHeight="false" outlineLevel="0" collapsed="false">
      <c r="A211" s="17"/>
      <c r="B211" s="18"/>
      <c r="C211" s="18"/>
      <c r="D211" s="18"/>
      <c r="E211" s="18"/>
      <c r="F211" s="19"/>
      <c r="G211" s="19"/>
      <c r="H211" s="15" t="str">
        <f aca="false">IF(AND(F211="",G211=""),"",N(F211)+N(G211))</f>
        <v/>
      </c>
      <c r="I211" s="18"/>
      <c r="J211" s="18"/>
      <c r="K211" s="20"/>
      <c r="L211" s="18"/>
    </row>
    <row r="212" customFormat="false" ht="15" hidden="false" customHeight="false" outlineLevel="0" collapsed="false">
      <c r="A212" s="17"/>
      <c r="B212" s="18"/>
      <c r="C212" s="18"/>
      <c r="D212" s="18"/>
      <c r="E212" s="18"/>
      <c r="F212" s="19"/>
      <c r="G212" s="19"/>
      <c r="H212" s="15" t="str">
        <f aca="false">IF(AND(F212="",G212=""),"",N(F212)+N(G212))</f>
        <v/>
      </c>
      <c r="I212" s="18"/>
      <c r="J212" s="18"/>
      <c r="K212" s="20"/>
      <c r="L212" s="18"/>
    </row>
    <row r="213" customFormat="false" ht="15" hidden="false" customHeight="false" outlineLevel="0" collapsed="false">
      <c r="A213" s="17"/>
      <c r="B213" s="18"/>
      <c r="C213" s="18"/>
      <c r="D213" s="18"/>
      <c r="E213" s="18"/>
      <c r="F213" s="19"/>
      <c r="G213" s="19"/>
      <c r="H213" s="15" t="str">
        <f aca="false">IF(AND(F213="",G213=""),"",N(F213)+N(G213))</f>
        <v/>
      </c>
      <c r="I213" s="18"/>
      <c r="J213" s="18"/>
      <c r="K213" s="20"/>
      <c r="L213" s="18"/>
    </row>
    <row r="214" customFormat="false" ht="15" hidden="false" customHeight="false" outlineLevel="0" collapsed="false">
      <c r="A214" s="17"/>
      <c r="B214" s="18"/>
      <c r="C214" s="18"/>
      <c r="D214" s="18"/>
      <c r="E214" s="18"/>
      <c r="F214" s="19"/>
      <c r="G214" s="19"/>
      <c r="H214" s="15" t="str">
        <f aca="false">IF(AND(F214="",G214=""),"",N(F214)+N(G214))</f>
        <v/>
      </c>
      <c r="I214" s="18"/>
      <c r="J214" s="18"/>
      <c r="K214" s="20"/>
      <c r="L214" s="18"/>
    </row>
    <row r="215" customFormat="false" ht="15" hidden="false" customHeight="false" outlineLevel="0" collapsed="false">
      <c r="A215" s="17"/>
      <c r="B215" s="18"/>
      <c r="C215" s="18"/>
      <c r="D215" s="18"/>
      <c r="E215" s="18"/>
      <c r="F215" s="19"/>
      <c r="G215" s="19"/>
      <c r="H215" s="15" t="str">
        <f aca="false">IF(AND(F215="",G215=""),"",N(F215)+N(G215))</f>
        <v/>
      </c>
      <c r="I215" s="18"/>
      <c r="J215" s="18"/>
      <c r="K215" s="20"/>
      <c r="L215" s="18"/>
    </row>
    <row r="216" customFormat="false" ht="15" hidden="false" customHeight="false" outlineLevel="0" collapsed="false">
      <c r="A216" s="17"/>
      <c r="B216" s="18"/>
      <c r="C216" s="18"/>
      <c r="D216" s="18"/>
      <c r="E216" s="18"/>
      <c r="F216" s="19"/>
      <c r="G216" s="19"/>
      <c r="H216" s="15" t="str">
        <f aca="false">IF(AND(F216="",G216=""),"",N(F216)+N(G216))</f>
        <v/>
      </c>
      <c r="I216" s="18"/>
      <c r="J216" s="18"/>
      <c r="K216" s="20"/>
      <c r="L216" s="18"/>
    </row>
    <row r="217" customFormat="false" ht="15" hidden="false" customHeight="false" outlineLevel="0" collapsed="false">
      <c r="A217" s="17"/>
      <c r="B217" s="18"/>
      <c r="C217" s="18"/>
      <c r="D217" s="18"/>
      <c r="E217" s="18"/>
      <c r="F217" s="19"/>
      <c r="G217" s="19"/>
      <c r="H217" s="15" t="str">
        <f aca="false">IF(AND(F217="",G217=""),"",N(F217)+N(G217))</f>
        <v/>
      </c>
      <c r="I217" s="18"/>
      <c r="J217" s="18"/>
      <c r="K217" s="20"/>
      <c r="L217" s="18"/>
    </row>
    <row r="218" customFormat="false" ht="15" hidden="false" customHeight="false" outlineLevel="0" collapsed="false">
      <c r="A218" s="17"/>
      <c r="B218" s="18"/>
      <c r="C218" s="18"/>
      <c r="D218" s="18"/>
      <c r="E218" s="18"/>
      <c r="F218" s="19"/>
      <c r="G218" s="19"/>
      <c r="H218" s="15" t="str">
        <f aca="false">IF(AND(F218="",G218=""),"",N(F218)+N(G218))</f>
        <v/>
      </c>
      <c r="I218" s="18"/>
      <c r="J218" s="18"/>
      <c r="K218" s="20"/>
      <c r="L218" s="18"/>
    </row>
    <row r="219" customFormat="false" ht="15" hidden="false" customHeight="false" outlineLevel="0" collapsed="false">
      <c r="A219" s="17"/>
      <c r="B219" s="18"/>
      <c r="C219" s="18"/>
      <c r="D219" s="18"/>
      <c r="E219" s="18"/>
      <c r="F219" s="19"/>
      <c r="G219" s="19"/>
      <c r="H219" s="15" t="str">
        <f aca="false">IF(AND(F219="",G219=""),"",N(F219)+N(G219))</f>
        <v/>
      </c>
      <c r="I219" s="18"/>
      <c r="J219" s="18"/>
      <c r="K219" s="20"/>
      <c r="L219" s="18"/>
    </row>
    <row r="220" customFormat="false" ht="15" hidden="false" customHeight="false" outlineLevel="0" collapsed="false">
      <c r="A220" s="17"/>
      <c r="B220" s="18"/>
      <c r="C220" s="18"/>
      <c r="D220" s="18"/>
      <c r="E220" s="18"/>
      <c r="F220" s="19"/>
      <c r="G220" s="19"/>
      <c r="H220" s="15" t="str">
        <f aca="false">IF(AND(F220="",G220=""),"",N(F220)+N(G220))</f>
        <v/>
      </c>
      <c r="I220" s="18"/>
      <c r="J220" s="18"/>
      <c r="K220" s="20"/>
      <c r="L220" s="18"/>
    </row>
    <row r="221" customFormat="false" ht="15" hidden="false" customHeight="false" outlineLevel="0" collapsed="false">
      <c r="A221" s="17"/>
      <c r="B221" s="18"/>
      <c r="C221" s="18"/>
      <c r="D221" s="18"/>
      <c r="E221" s="18"/>
      <c r="F221" s="19"/>
      <c r="G221" s="19"/>
      <c r="H221" s="15" t="str">
        <f aca="false">IF(AND(F221="",G221=""),"",N(F221)+N(G221))</f>
        <v/>
      </c>
      <c r="I221" s="18"/>
      <c r="J221" s="18"/>
      <c r="K221" s="20"/>
      <c r="L221" s="18"/>
    </row>
    <row r="222" customFormat="false" ht="15" hidden="false" customHeight="false" outlineLevel="0" collapsed="false">
      <c r="A222" s="17"/>
      <c r="B222" s="18"/>
      <c r="C222" s="18"/>
      <c r="D222" s="18"/>
      <c r="E222" s="18"/>
      <c r="F222" s="19"/>
      <c r="G222" s="19"/>
      <c r="H222" s="15" t="str">
        <f aca="false">IF(AND(F222="",G222=""),"",N(F222)+N(G222))</f>
        <v/>
      </c>
      <c r="I222" s="18"/>
      <c r="J222" s="18"/>
      <c r="K222" s="20"/>
      <c r="L222" s="18"/>
    </row>
    <row r="223" customFormat="false" ht="15" hidden="false" customHeight="false" outlineLevel="0" collapsed="false">
      <c r="A223" s="17"/>
      <c r="B223" s="18"/>
      <c r="C223" s="18"/>
      <c r="D223" s="18"/>
      <c r="E223" s="18"/>
      <c r="F223" s="19"/>
      <c r="G223" s="19"/>
      <c r="H223" s="15" t="str">
        <f aca="false">IF(AND(F223="",G223=""),"",N(F223)+N(G223))</f>
        <v/>
      </c>
      <c r="I223" s="18"/>
      <c r="J223" s="18"/>
      <c r="K223" s="20"/>
      <c r="L223" s="18"/>
    </row>
    <row r="224" customFormat="false" ht="15" hidden="false" customHeight="false" outlineLevel="0" collapsed="false">
      <c r="A224" s="17"/>
      <c r="B224" s="18"/>
      <c r="C224" s="18"/>
      <c r="D224" s="18"/>
      <c r="E224" s="18"/>
      <c r="F224" s="19"/>
      <c r="G224" s="19"/>
      <c r="H224" s="15" t="str">
        <f aca="false">IF(AND(F224="",G224=""),"",N(F224)+N(G224))</f>
        <v/>
      </c>
      <c r="I224" s="18"/>
      <c r="J224" s="18"/>
      <c r="K224" s="20"/>
      <c r="L224" s="18"/>
    </row>
    <row r="225" customFormat="false" ht="15" hidden="false" customHeight="false" outlineLevel="0" collapsed="false">
      <c r="A225" s="17"/>
      <c r="B225" s="18"/>
      <c r="C225" s="18"/>
      <c r="D225" s="18"/>
      <c r="E225" s="18"/>
      <c r="F225" s="19"/>
      <c r="G225" s="19"/>
      <c r="H225" s="15" t="str">
        <f aca="false">IF(AND(F225="",G225=""),"",N(F225)+N(G225))</f>
        <v/>
      </c>
      <c r="I225" s="18"/>
      <c r="J225" s="18"/>
      <c r="K225" s="20"/>
      <c r="L225" s="18"/>
    </row>
    <row r="226" customFormat="false" ht="15" hidden="false" customHeight="false" outlineLevel="0" collapsed="false">
      <c r="A226" s="17"/>
      <c r="B226" s="18"/>
      <c r="C226" s="18"/>
      <c r="D226" s="18"/>
      <c r="E226" s="18"/>
      <c r="F226" s="19"/>
      <c r="G226" s="19"/>
      <c r="H226" s="15" t="str">
        <f aca="false">IF(AND(F226="",G226=""),"",N(F226)+N(G226))</f>
        <v/>
      </c>
      <c r="I226" s="18"/>
      <c r="J226" s="18"/>
      <c r="K226" s="20"/>
      <c r="L226" s="18"/>
    </row>
    <row r="227" customFormat="false" ht="15" hidden="false" customHeight="false" outlineLevel="0" collapsed="false">
      <c r="A227" s="17"/>
      <c r="B227" s="18"/>
      <c r="C227" s="18"/>
      <c r="D227" s="18"/>
      <c r="E227" s="18"/>
      <c r="F227" s="19"/>
      <c r="G227" s="19"/>
      <c r="H227" s="15" t="str">
        <f aca="false">IF(AND(F227="",G227=""),"",N(F227)+N(G227))</f>
        <v/>
      </c>
      <c r="I227" s="18"/>
      <c r="J227" s="18"/>
      <c r="K227" s="20"/>
      <c r="L227" s="18"/>
    </row>
    <row r="228" customFormat="false" ht="15" hidden="false" customHeight="false" outlineLevel="0" collapsed="false">
      <c r="A228" s="17"/>
      <c r="B228" s="18"/>
      <c r="C228" s="18"/>
      <c r="D228" s="18"/>
      <c r="E228" s="18"/>
      <c r="F228" s="19"/>
      <c r="G228" s="19"/>
      <c r="H228" s="15" t="str">
        <f aca="false">IF(AND(F228="",G228=""),"",N(F228)+N(G228))</f>
        <v/>
      </c>
      <c r="I228" s="18"/>
      <c r="J228" s="18"/>
      <c r="K228" s="20"/>
      <c r="L228" s="18"/>
    </row>
    <row r="229" customFormat="false" ht="15" hidden="false" customHeight="false" outlineLevel="0" collapsed="false">
      <c r="A229" s="17"/>
      <c r="B229" s="18"/>
      <c r="C229" s="18"/>
      <c r="D229" s="18"/>
      <c r="E229" s="18"/>
      <c r="F229" s="19"/>
      <c r="G229" s="19"/>
      <c r="H229" s="15" t="str">
        <f aca="false">IF(AND(F229="",G229=""),"",N(F229)+N(G229))</f>
        <v/>
      </c>
      <c r="I229" s="18"/>
      <c r="J229" s="18"/>
      <c r="K229" s="20"/>
      <c r="L229" s="18"/>
    </row>
    <row r="230" customFormat="false" ht="15" hidden="false" customHeight="false" outlineLevel="0" collapsed="false">
      <c r="A230" s="17"/>
      <c r="B230" s="18"/>
      <c r="C230" s="18"/>
      <c r="D230" s="18"/>
      <c r="E230" s="18"/>
      <c r="F230" s="19"/>
      <c r="G230" s="19"/>
      <c r="H230" s="15" t="str">
        <f aca="false">IF(AND(F230="",G230=""),"",N(F230)+N(G230))</f>
        <v/>
      </c>
      <c r="I230" s="18"/>
      <c r="J230" s="18"/>
      <c r="K230" s="20"/>
      <c r="L230" s="18"/>
    </row>
    <row r="231" customFormat="false" ht="15" hidden="false" customHeight="false" outlineLevel="0" collapsed="false">
      <c r="A231" s="17"/>
      <c r="B231" s="18"/>
      <c r="C231" s="18"/>
      <c r="D231" s="18"/>
      <c r="E231" s="18"/>
      <c r="F231" s="19"/>
      <c r="G231" s="19"/>
      <c r="H231" s="15" t="str">
        <f aca="false">IF(AND(F231="",G231=""),"",N(F231)+N(G231))</f>
        <v/>
      </c>
      <c r="I231" s="18"/>
      <c r="J231" s="18"/>
      <c r="K231" s="20"/>
      <c r="L231" s="18"/>
    </row>
    <row r="232" customFormat="false" ht="15" hidden="false" customHeight="false" outlineLevel="0" collapsed="false">
      <c r="A232" s="17"/>
      <c r="B232" s="18"/>
      <c r="C232" s="18"/>
      <c r="D232" s="18"/>
      <c r="E232" s="18"/>
      <c r="F232" s="19"/>
      <c r="G232" s="19"/>
      <c r="H232" s="15" t="str">
        <f aca="false">IF(AND(F232="",G232=""),"",N(F232)+N(G232))</f>
        <v/>
      </c>
      <c r="I232" s="18"/>
      <c r="J232" s="18"/>
      <c r="K232" s="20"/>
      <c r="L232" s="18"/>
    </row>
    <row r="233" customFormat="false" ht="15" hidden="false" customHeight="false" outlineLevel="0" collapsed="false">
      <c r="A233" s="17"/>
      <c r="B233" s="18"/>
      <c r="C233" s="18"/>
      <c r="D233" s="18"/>
      <c r="E233" s="18"/>
      <c r="F233" s="19"/>
      <c r="G233" s="19"/>
      <c r="H233" s="15" t="str">
        <f aca="false">IF(AND(F233="",G233=""),"",N(F233)+N(G233))</f>
        <v/>
      </c>
      <c r="I233" s="18"/>
      <c r="J233" s="18"/>
      <c r="K233" s="20"/>
      <c r="L233" s="18"/>
    </row>
    <row r="234" customFormat="false" ht="15" hidden="false" customHeight="false" outlineLevel="0" collapsed="false">
      <c r="A234" s="17"/>
      <c r="B234" s="18"/>
      <c r="C234" s="18"/>
      <c r="D234" s="18"/>
      <c r="E234" s="18"/>
      <c r="F234" s="19"/>
      <c r="G234" s="19"/>
      <c r="H234" s="15" t="str">
        <f aca="false">IF(AND(F234="",G234=""),"",N(F234)+N(G234))</f>
        <v/>
      </c>
      <c r="I234" s="18"/>
      <c r="J234" s="18"/>
      <c r="K234" s="20"/>
      <c r="L234" s="18"/>
    </row>
    <row r="235" customFormat="false" ht="15" hidden="false" customHeight="false" outlineLevel="0" collapsed="false">
      <c r="A235" s="17"/>
      <c r="B235" s="18"/>
      <c r="C235" s="18"/>
      <c r="D235" s="18"/>
      <c r="E235" s="18"/>
      <c r="F235" s="19"/>
      <c r="G235" s="19"/>
      <c r="H235" s="15" t="str">
        <f aca="false">IF(AND(F235="",G235=""),"",N(F235)+N(G235))</f>
        <v/>
      </c>
      <c r="I235" s="18"/>
      <c r="J235" s="18"/>
      <c r="K235" s="20"/>
      <c r="L235" s="18"/>
    </row>
    <row r="236" customFormat="false" ht="15" hidden="false" customHeight="false" outlineLevel="0" collapsed="false">
      <c r="A236" s="17"/>
      <c r="B236" s="18"/>
      <c r="C236" s="18"/>
      <c r="D236" s="18"/>
      <c r="E236" s="18"/>
      <c r="F236" s="19"/>
      <c r="G236" s="19"/>
      <c r="H236" s="15" t="str">
        <f aca="false">IF(AND(F236="",G236=""),"",N(F236)+N(G236))</f>
        <v/>
      </c>
      <c r="I236" s="18"/>
      <c r="J236" s="18"/>
      <c r="K236" s="20"/>
      <c r="L236" s="18"/>
    </row>
    <row r="237" customFormat="false" ht="15" hidden="false" customHeight="false" outlineLevel="0" collapsed="false">
      <c r="A237" s="17"/>
      <c r="B237" s="18"/>
      <c r="C237" s="18"/>
      <c r="D237" s="18"/>
      <c r="E237" s="18"/>
      <c r="F237" s="19"/>
      <c r="G237" s="19"/>
      <c r="H237" s="15" t="str">
        <f aca="false">IF(AND(F237="",G237=""),"",N(F237)+N(G237))</f>
        <v/>
      </c>
      <c r="I237" s="18"/>
      <c r="J237" s="18"/>
      <c r="K237" s="20"/>
      <c r="L237" s="18"/>
    </row>
    <row r="238" customFormat="false" ht="15" hidden="false" customHeight="false" outlineLevel="0" collapsed="false">
      <c r="A238" s="17"/>
      <c r="B238" s="18"/>
      <c r="C238" s="18"/>
      <c r="D238" s="18"/>
      <c r="E238" s="18"/>
      <c r="F238" s="19"/>
      <c r="G238" s="19"/>
      <c r="H238" s="15" t="str">
        <f aca="false">IF(AND(F238="",G238=""),"",N(F238)+N(G238))</f>
        <v/>
      </c>
      <c r="I238" s="18"/>
      <c r="J238" s="18"/>
      <c r="K238" s="20"/>
      <c r="L238" s="18"/>
    </row>
    <row r="239" customFormat="false" ht="15" hidden="false" customHeight="false" outlineLevel="0" collapsed="false">
      <c r="A239" s="17"/>
      <c r="B239" s="18"/>
      <c r="C239" s="18"/>
      <c r="D239" s="18"/>
      <c r="E239" s="18"/>
      <c r="F239" s="19"/>
      <c r="G239" s="19"/>
      <c r="H239" s="15" t="str">
        <f aca="false">IF(AND(F239="",G239=""),"",N(F239)+N(G239))</f>
        <v/>
      </c>
      <c r="I239" s="18"/>
      <c r="J239" s="18"/>
      <c r="K239" s="20"/>
      <c r="L239" s="18"/>
    </row>
    <row r="240" customFormat="false" ht="15" hidden="false" customHeight="false" outlineLevel="0" collapsed="false">
      <c r="A240" s="17"/>
      <c r="B240" s="18"/>
      <c r="C240" s="18"/>
      <c r="D240" s="18"/>
      <c r="E240" s="18"/>
      <c r="F240" s="19"/>
      <c r="G240" s="19"/>
      <c r="H240" s="15" t="str">
        <f aca="false">IF(AND(F240="",G240=""),"",N(F240)+N(G240))</f>
        <v/>
      </c>
      <c r="I240" s="18"/>
      <c r="J240" s="18"/>
      <c r="K240" s="20"/>
      <c r="L240" s="18"/>
    </row>
    <row r="241" customFormat="false" ht="15" hidden="false" customHeight="false" outlineLevel="0" collapsed="false">
      <c r="A241" s="17"/>
      <c r="B241" s="18"/>
      <c r="C241" s="18"/>
      <c r="D241" s="18"/>
      <c r="E241" s="18"/>
      <c r="F241" s="19"/>
      <c r="G241" s="19"/>
      <c r="H241" s="15" t="str">
        <f aca="false">IF(AND(F241="",G241=""),"",N(F241)+N(G241))</f>
        <v/>
      </c>
      <c r="I241" s="18"/>
      <c r="J241" s="18"/>
      <c r="K241" s="20"/>
      <c r="L241" s="18"/>
    </row>
    <row r="242" customFormat="false" ht="15" hidden="false" customHeight="false" outlineLevel="0" collapsed="false">
      <c r="A242" s="17"/>
      <c r="B242" s="18"/>
      <c r="C242" s="18"/>
      <c r="D242" s="18"/>
      <c r="E242" s="18"/>
      <c r="F242" s="19"/>
      <c r="G242" s="19"/>
      <c r="H242" s="15" t="str">
        <f aca="false">IF(AND(F242="",G242=""),"",N(F242)+N(G242))</f>
        <v/>
      </c>
      <c r="I242" s="18"/>
      <c r="J242" s="18"/>
      <c r="K242" s="20"/>
      <c r="L242" s="18"/>
    </row>
    <row r="243" customFormat="false" ht="15" hidden="false" customHeight="false" outlineLevel="0" collapsed="false">
      <c r="A243" s="17"/>
      <c r="B243" s="18"/>
      <c r="C243" s="18"/>
      <c r="D243" s="18"/>
      <c r="E243" s="18"/>
      <c r="F243" s="19"/>
      <c r="G243" s="19"/>
      <c r="H243" s="15" t="str">
        <f aca="false">IF(AND(F243="",G243=""),"",N(F243)+N(G243))</f>
        <v/>
      </c>
      <c r="I243" s="18"/>
      <c r="J243" s="18"/>
      <c r="K243" s="20"/>
      <c r="L243" s="18"/>
    </row>
    <row r="244" customFormat="false" ht="15" hidden="false" customHeight="false" outlineLevel="0" collapsed="false">
      <c r="A244" s="17"/>
      <c r="B244" s="18"/>
      <c r="C244" s="18"/>
      <c r="D244" s="18"/>
      <c r="E244" s="18"/>
      <c r="F244" s="19"/>
      <c r="G244" s="19"/>
      <c r="H244" s="15" t="str">
        <f aca="false">IF(AND(F244="",G244=""),"",N(F244)+N(G244))</f>
        <v/>
      </c>
      <c r="I244" s="18"/>
      <c r="J244" s="18"/>
      <c r="K244" s="20"/>
      <c r="L244" s="18"/>
    </row>
    <row r="245" customFormat="false" ht="15" hidden="false" customHeight="false" outlineLevel="0" collapsed="false">
      <c r="A245" s="17"/>
      <c r="B245" s="18"/>
      <c r="C245" s="18"/>
      <c r="D245" s="18"/>
      <c r="E245" s="18"/>
      <c r="F245" s="19"/>
      <c r="G245" s="19"/>
      <c r="H245" s="15" t="str">
        <f aca="false">IF(AND(F245="",G245=""),"",N(F245)+N(G245))</f>
        <v/>
      </c>
      <c r="I245" s="18"/>
      <c r="J245" s="18"/>
      <c r="K245" s="20"/>
      <c r="L245" s="18"/>
    </row>
    <row r="246" customFormat="false" ht="15" hidden="false" customHeight="false" outlineLevel="0" collapsed="false">
      <c r="A246" s="17"/>
      <c r="B246" s="18"/>
      <c r="C246" s="18"/>
      <c r="D246" s="18"/>
      <c r="E246" s="18"/>
      <c r="F246" s="19"/>
      <c r="G246" s="19"/>
      <c r="H246" s="15" t="str">
        <f aca="false">IF(AND(F246="",G246=""),"",N(F246)+N(G246))</f>
        <v/>
      </c>
      <c r="I246" s="18"/>
      <c r="J246" s="18"/>
      <c r="K246" s="20"/>
      <c r="L246" s="18"/>
    </row>
    <row r="247" customFormat="false" ht="15" hidden="false" customHeight="false" outlineLevel="0" collapsed="false">
      <c r="A247" s="17"/>
      <c r="B247" s="18"/>
      <c r="C247" s="18"/>
      <c r="D247" s="18"/>
      <c r="E247" s="18"/>
      <c r="F247" s="19"/>
      <c r="G247" s="19"/>
      <c r="H247" s="15" t="str">
        <f aca="false">IF(AND(F247="",G247=""),"",N(F247)+N(G247))</f>
        <v/>
      </c>
      <c r="I247" s="18"/>
      <c r="J247" s="18"/>
      <c r="K247" s="20"/>
      <c r="L247" s="18"/>
    </row>
    <row r="248" customFormat="false" ht="15" hidden="false" customHeight="false" outlineLevel="0" collapsed="false">
      <c r="A248" s="17"/>
      <c r="B248" s="18"/>
      <c r="C248" s="18"/>
      <c r="D248" s="18"/>
      <c r="E248" s="18"/>
      <c r="F248" s="19"/>
      <c r="G248" s="19"/>
      <c r="H248" s="15" t="str">
        <f aca="false">IF(AND(F248="",G248=""),"",N(F248)+N(G248))</f>
        <v/>
      </c>
      <c r="I248" s="18"/>
      <c r="J248" s="18"/>
      <c r="K248" s="20"/>
      <c r="L248" s="18"/>
    </row>
    <row r="249" customFormat="false" ht="15" hidden="false" customHeight="false" outlineLevel="0" collapsed="false">
      <c r="A249" s="17"/>
      <c r="B249" s="18"/>
      <c r="C249" s="18"/>
      <c r="D249" s="18"/>
      <c r="E249" s="18"/>
      <c r="F249" s="19"/>
      <c r="G249" s="19"/>
      <c r="H249" s="15" t="str">
        <f aca="false">IF(AND(F249="",G249=""),"",N(F249)+N(G249))</f>
        <v/>
      </c>
      <c r="I249" s="18"/>
      <c r="J249" s="18"/>
      <c r="K249" s="20"/>
      <c r="L249" s="18"/>
    </row>
    <row r="250" customFormat="false" ht="15" hidden="false" customHeight="false" outlineLevel="0" collapsed="false">
      <c r="A250" s="17"/>
      <c r="B250" s="18"/>
      <c r="C250" s="18"/>
      <c r="D250" s="18"/>
      <c r="E250" s="18"/>
      <c r="F250" s="19"/>
      <c r="G250" s="19"/>
      <c r="H250" s="15" t="str">
        <f aca="false">IF(AND(F250="",G250=""),"",N(F250)+N(G250))</f>
        <v/>
      </c>
      <c r="I250" s="18"/>
      <c r="J250" s="18"/>
      <c r="K250" s="20"/>
      <c r="L250" s="18"/>
    </row>
    <row r="251" customFormat="false" ht="15" hidden="false" customHeight="false" outlineLevel="0" collapsed="false">
      <c r="A251" s="17"/>
      <c r="B251" s="18"/>
      <c r="C251" s="18"/>
      <c r="D251" s="18"/>
      <c r="E251" s="18"/>
      <c r="F251" s="19"/>
      <c r="G251" s="19"/>
      <c r="H251" s="15" t="str">
        <f aca="false">IF(AND(F251="",G251=""),"",N(F251)+N(G251))</f>
        <v/>
      </c>
      <c r="I251" s="18"/>
      <c r="J251" s="18"/>
      <c r="K251" s="20"/>
      <c r="L251" s="18"/>
    </row>
    <row r="252" customFormat="false" ht="15" hidden="false" customHeight="false" outlineLevel="0" collapsed="false">
      <c r="A252" s="17"/>
      <c r="B252" s="18"/>
      <c r="C252" s="18"/>
      <c r="D252" s="18"/>
      <c r="E252" s="18"/>
      <c r="F252" s="19"/>
      <c r="G252" s="19"/>
      <c r="H252" s="15" t="str">
        <f aca="false">IF(AND(F252="",G252=""),"",N(F252)+N(G252))</f>
        <v/>
      </c>
      <c r="I252" s="18"/>
      <c r="J252" s="18"/>
      <c r="K252" s="20"/>
      <c r="L252" s="18"/>
    </row>
    <row r="253" customFormat="false" ht="15" hidden="false" customHeight="false" outlineLevel="0" collapsed="false">
      <c r="A253" s="17"/>
      <c r="B253" s="18"/>
      <c r="C253" s="18"/>
      <c r="D253" s="18"/>
      <c r="E253" s="18"/>
      <c r="F253" s="19"/>
      <c r="G253" s="19"/>
      <c r="H253" s="15" t="str">
        <f aca="false">IF(AND(F253="",G253=""),"",N(F253)+N(G253))</f>
        <v/>
      </c>
      <c r="I253" s="18"/>
      <c r="J253" s="18"/>
      <c r="K253" s="20"/>
      <c r="L253" s="18"/>
    </row>
    <row r="254" customFormat="false" ht="15" hidden="false" customHeight="false" outlineLevel="0" collapsed="false">
      <c r="A254" s="17"/>
      <c r="B254" s="18"/>
      <c r="C254" s="18"/>
      <c r="D254" s="18"/>
      <c r="E254" s="18"/>
      <c r="F254" s="19"/>
      <c r="G254" s="19"/>
      <c r="H254" s="15" t="str">
        <f aca="false">IF(AND(F254="",G254=""),"",N(F254)+N(G254))</f>
        <v/>
      </c>
      <c r="I254" s="18"/>
      <c r="J254" s="18"/>
      <c r="K254" s="20"/>
      <c r="L254" s="18"/>
    </row>
    <row r="255" customFormat="false" ht="15" hidden="false" customHeight="false" outlineLevel="0" collapsed="false">
      <c r="A255" s="17"/>
      <c r="B255" s="18"/>
      <c r="C255" s="18"/>
      <c r="D255" s="18"/>
      <c r="E255" s="18"/>
      <c r="F255" s="19"/>
      <c r="G255" s="19"/>
      <c r="H255" s="15" t="str">
        <f aca="false">IF(AND(F255="",G255=""),"",N(F255)+N(G255))</f>
        <v/>
      </c>
      <c r="I255" s="18"/>
      <c r="J255" s="18"/>
      <c r="K255" s="20"/>
      <c r="L255" s="18"/>
    </row>
    <row r="256" customFormat="false" ht="15" hidden="false" customHeight="false" outlineLevel="0" collapsed="false">
      <c r="A256" s="17"/>
      <c r="B256" s="18"/>
      <c r="C256" s="18"/>
      <c r="D256" s="18"/>
      <c r="E256" s="18"/>
      <c r="F256" s="19"/>
      <c r="G256" s="19"/>
      <c r="H256" s="15" t="str">
        <f aca="false">IF(AND(F256="",G256=""),"",N(F256)+N(G256))</f>
        <v/>
      </c>
      <c r="I256" s="18"/>
      <c r="J256" s="18"/>
      <c r="K256" s="20"/>
      <c r="L256" s="18"/>
    </row>
    <row r="257" customFormat="false" ht="15" hidden="false" customHeight="false" outlineLevel="0" collapsed="false">
      <c r="A257" s="17"/>
      <c r="B257" s="18"/>
      <c r="C257" s="18"/>
      <c r="D257" s="18"/>
      <c r="E257" s="18"/>
      <c r="F257" s="19"/>
      <c r="G257" s="19"/>
      <c r="H257" s="15" t="str">
        <f aca="false">IF(AND(F257="",G257=""),"",N(F257)+N(G257))</f>
        <v/>
      </c>
      <c r="I257" s="18"/>
      <c r="J257" s="18"/>
      <c r="K257" s="20"/>
      <c r="L257" s="18"/>
    </row>
    <row r="258" customFormat="false" ht="15" hidden="false" customHeight="false" outlineLevel="0" collapsed="false">
      <c r="A258" s="17"/>
      <c r="B258" s="18"/>
      <c r="C258" s="18"/>
      <c r="D258" s="18"/>
      <c r="E258" s="18"/>
      <c r="F258" s="19"/>
      <c r="G258" s="19"/>
      <c r="H258" s="15" t="str">
        <f aca="false">IF(AND(F258="",G258=""),"",N(F258)+N(G258))</f>
        <v/>
      </c>
      <c r="I258" s="18"/>
      <c r="J258" s="18"/>
      <c r="K258" s="20"/>
      <c r="L258" s="18"/>
    </row>
    <row r="259" customFormat="false" ht="15" hidden="false" customHeight="false" outlineLevel="0" collapsed="false">
      <c r="A259" s="17"/>
      <c r="B259" s="18"/>
      <c r="C259" s="18"/>
      <c r="D259" s="18"/>
      <c r="E259" s="18"/>
      <c r="F259" s="19"/>
      <c r="G259" s="19"/>
      <c r="H259" s="15" t="str">
        <f aca="false">IF(AND(F259="",G259=""),"",N(F259)+N(G259))</f>
        <v/>
      </c>
      <c r="I259" s="18"/>
      <c r="J259" s="18"/>
      <c r="K259" s="20"/>
      <c r="L259" s="18"/>
    </row>
    <row r="260" customFormat="false" ht="15" hidden="false" customHeight="false" outlineLevel="0" collapsed="false">
      <c r="A260" s="17"/>
      <c r="B260" s="18"/>
      <c r="C260" s="18"/>
      <c r="D260" s="18"/>
      <c r="E260" s="18"/>
      <c r="F260" s="19"/>
      <c r="G260" s="19"/>
      <c r="H260" s="15" t="str">
        <f aca="false">IF(AND(F260="",G260=""),"",N(F260)+N(G260))</f>
        <v/>
      </c>
      <c r="I260" s="18"/>
      <c r="J260" s="18"/>
      <c r="K260" s="20"/>
      <c r="L260" s="18"/>
    </row>
    <row r="261" customFormat="false" ht="15" hidden="false" customHeight="false" outlineLevel="0" collapsed="false">
      <c r="A261" s="17"/>
      <c r="B261" s="18"/>
      <c r="C261" s="18"/>
      <c r="D261" s="18"/>
      <c r="E261" s="18"/>
      <c r="F261" s="19"/>
      <c r="G261" s="19"/>
      <c r="H261" s="15" t="str">
        <f aca="false">IF(AND(F261="",G261=""),"",N(F261)+N(G261))</f>
        <v/>
      </c>
      <c r="I261" s="18"/>
      <c r="J261" s="18"/>
      <c r="K261" s="20"/>
      <c r="L261" s="18"/>
    </row>
    <row r="262" customFormat="false" ht="15" hidden="false" customHeight="false" outlineLevel="0" collapsed="false">
      <c r="A262" s="17"/>
      <c r="B262" s="18"/>
      <c r="C262" s="18"/>
      <c r="D262" s="18"/>
      <c r="E262" s="18"/>
      <c r="F262" s="19"/>
      <c r="G262" s="19"/>
      <c r="H262" s="15" t="str">
        <f aca="false">IF(AND(F262="",G262=""),"",N(F262)+N(G262))</f>
        <v/>
      </c>
      <c r="I262" s="18"/>
      <c r="J262" s="18"/>
      <c r="K262" s="20"/>
      <c r="L262" s="18"/>
    </row>
    <row r="263" customFormat="false" ht="15" hidden="false" customHeight="false" outlineLevel="0" collapsed="false">
      <c r="A263" s="17"/>
      <c r="B263" s="18"/>
      <c r="C263" s="18"/>
      <c r="D263" s="18"/>
      <c r="E263" s="18"/>
      <c r="F263" s="19"/>
      <c r="G263" s="19"/>
      <c r="H263" s="15" t="str">
        <f aca="false">IF(AND(F263="",G263=""),"",N(F263)+N(G263))</f>
        <v/>
      </c>
      <c r="I263" s="18"/>
      <c r="J263" s="18"/>
      <c r="K263" s="20"/>
      <c r="L263" s="18"/>
    </row>
    <row r="264" customFormat="false" ht="15" hidden="false" customHeight="false" outlineLevel="0" collapsed="false">
      <c r="A264" s="17"/>
      <c r="B264" s="18"/>
      <c r="C264" s="18"/>
      <c r="D264" s="18"/>
      <c r="E264" s="18"/>
      <c r="F264" s="19"/>
      <c r="G264" s="19"/>
      <c r="H264" s="15" t="str">
        <f aca="false">IF(AND(F264="",G264=""),"",N(F264)+N(G264))</f>
        <v/>
      </c>
      <c r="I264" s="18"/>
      <c r="J264" s="18"/>
      <c r="K264" s="20"/>
      <c r="L264" s="18"/>
    </row>
    <row r="265" customFormat="false" ht="15" hidden="false" customHeight="false" outlineLevel="0" collapsed="false">
      <c r="A265" s="17"/>
      <c r="B265" s="18"/>
      <c r="C265" s="18"/>
      <c r="D265" s="18"/>
      <c r="E265" s="18"/>
      <c r="F265" s="19"/>
      <c r="G265" s="19"/>
      <c r="H265" s="15" t="str">
        <f aca="false">IF(AND(F265="",G265=""),"",N(F265)+N(G265))</f>
        <v/>
      </c>
      <c r="I265" s="18"/>
      <c r="J265" s="18"/>
      <c r="K265" s="20"/>
      <c r="L265" s="18"/>
    </row>
    <row r="266" customFormat="false" ht="15" hidden="false" customHeight="false" outlineLevel="0" collapsed="false">
      <c r="A266" s="17"/>
      <c r="B266" s="18"/>
      <c r="C266" s="18"/>
      <c r="D266" s="18"/>
      <c r="E266" s="18"/>
      <c r="F266" s="19"/>
      <c r="G266" s="19"/>
      <c r="H266" s="15" t="str">
        <f aca="false">IF(AND(F266="",G266=""),"",N(F266)+N(G266))</f>
        <v/>
      </c>
      <c r="I266" s="18"/>
      <c r="J266" s="18"/>
      <c r="K266" s="20"/>
      <c r="L266" s="18"/>
    </row>
    <row r="267" customFormat="false" ht="15" hidden="false" customHeight="false" outlineLevel="0" collapsed="false">
      <c r="A267" s="17"/>
      <c r="B267" s="18"/>
      <c r="C267" s="18"/>
      <c r="D267" s="18"/>
      <c r="E267" s="18"/>
      <c r="F267" s="19"/>
      <c r="G267" s="19"/>
      <c r="H267" s="15" t="str">
        <f aca="false">IF(AND(F267="",G267=""),"",N(F267)+N(G267))</f>
        <v/>
      </c>
      <c r="I267" s="18"/>
      <c r="J267" s="18"/>
      <c r="K267" s="20"/>
      <c r="L267" s="18"/>
    </row>
    <row r="268" customFormat="false" ht="15" hidden="false" customHeight="false" outlineLevel="0" collapsed="false">
      <c r="A268" s="17"/>
      <c r="B268" s="18"/>
      <c r="C268" s="18"/>
      <c r="D268" s="18"/>
      <c r="E268" s="18"/>
      <c r="F268" s="19"/>
      <c r="G268" s="19"/>
      <c r="H268" s="15" t="str">
        <f aca="false">IF(AND(F268="",G268=""),"",N(F268)+N(G268))</f>
        <v/>
      </c>
      <c r="I268" s="18"/>
      <c r="J268" s="18"/>
      <c r="K268" s="20"/>
      <c r="L268" s="18"/>
    </row>
    <row r="269" customFormat="false" ht="15" hidden="false" customHeight="false" outlineLevel="0" collapsed="false">
      <c r="A269" s="17"/>
      <c r="B269" s="18"/>
      <c r="C269" s="18"/>
      <c r="D269" s="18"/>
      <c r="E269" s="18"/>
      <c r="F269" s="19"/>
      <c r="G269" s="19"/>
      <c r="H269" s="15" t="str">
        <f aca="false">IF(AND(F269="",G269=""),"",N(F269)+N(G269))</f>
        <v/>
      </c>
      <c r="I269" s="18"/>
      <c r="J269" s="18"/>
      <c r="K269" s="20"/>
      <c r="L269" s="18"/>
    </row>
    <row r="270" customFormat="false" ht="15" hidden="false" customHeight="false" outlineLevel="0" collapsed="false">
      <c r="A270" s="17"/>
      <c r="B270" s="18"/>
      <c r="C270" s="18"/>
      <c r="D270" s="18"/>
      <c r="E270" s="18"/>
      <c r="F270" s="19"/>
      <c r="G270" s="19"/>
      <c r="H270" s="15" t="str">
        <f aca="false">IF(AND(F270="",G270=""),"",N(F270)+N(G270))</f>
        <v/>
      </c>
      <c r="I270" s="18"/>
      <c r="J270" s="18"/>
      <c r="K270" s="20"/>
      <c r="L270" s="18"/>
    </row>
    <row r="271" customFormat="false" ht="15" hidden="false" customHeight="false" outlineLevel="0" collapsed="false">
      <c r="A271" s="17"/>
      <c r="B271" s="18"/>
      <c r="C271" s="18"/>
      <c r="D271" s="18"/>
      <c r="E271" s="18"/>
      <c r="F271" s="19"/>
      <c r="G271" s="19"/>
      <c r="H271" s="15" t="str">
        <f aca="false">IF(AND(F271="",G271=""),"",N(F271)+N(G271))</f>
        <v/>
      </c>
      <c r="I271" s="18"/>
      <c r="J271" s="18"/>
      <c r="K271" s="20"/>
      <c r="L271" s="18"/>
    </row>
    <row r="272" customFormat="false" ht="15" hidden="false" customHeight="false" outlineLevel="0" collapsed="false">
      <c r="A272" s="17"/>
      <c r="B272" s="18"/>
      <c r="C272" s="18"/>
      <c r="D272" s="18"/>
      <c r="E272" s="18"/>
      <c r="F272" s="19"/>
      <c r="G272" s="19"/>
      <c r="H272" s="15" t="str">
        <f aca="false">IF(AND(F272="",G272=""),"",N(F272)+N(G272))</f>
        <v/>
      </c>
      <c r="I272" s="18"/>
      <c r="J272" s="18"/>
      <c r="K272" s="20"/>
      <c r="L272" s="18"/>
    </row>
    <row r="273" customFormat="false" ht="15" hidden="false" customHeight="false" outlineLevel="0" collapsed="false">
      <c r="A273" s="17"/>
      <c r="B273" s="18"/>
      <c r="C273" s="18"/>
      <c r="D273" s="18"/>
      <c r="E273" s="18"/>
      <c r="F273" s="19"/>
      <c r="G273" s="19"/>
      <c r="H273" s="15" t="str">
        <f aca="false">IF(AND(F273="",G273=""),"",N(F273)+N(G273))</f>
        <v/>
      </c>
      <c r="I273" s="18"/>
      <c r="J273" s="18"/>
      <c r="K273" s="20"/>
      <c r="L273" s="18"/>
    </row>
    <row r="274" customFormat="false" ht="15" hidden="false" customHeight="false" outlineLevel="0" collapsed="false">
      <c r="A274" s="17"/>
      <c r="B274" s="18"/>
      <c r="C274" s="18"/>
      <c r="D274" s="18"/>
      <c r="E274" s="18"/>
      <c r="F274" s="19"/>
      <c r="G274" s="19"/>
      <c r="H274" s="15" t="str">
        <f aca="false">IF(AND(F274="",G274=""),"",N(F274)+N(G274))</f>
        <v/>
      </c>
      <c r="I274" s="18"/>
      <c r="J274" s="18"/>
      <c r="K274" s="20"/>
      <c r="L274" s="18"/>
    </row>
    <row r="275" customFormat="false" ht="15" hidden="false" customHeight="false" outlineLevel="0" collapsed="false">
      <c r="A275" s="17"/>
      <c r="B275" s="18"/>
      <c r="C275" s="18"/>
      <c r="D275" s="18"/>
      <c r="E275" s="18"/>
      <c r="F275" s="19"/>
      <c r="G275" s="19"/>
      <c r="H275" s="15" t="str">
        <f aca="false">IF(AND(F275="",G275=""),"",N(F275)+N(G275))</f>
        <v/>
      </c>
      <c r="I275" s="18"/>
      <c r="J275" s="18"/>
      <c r="K275" s="20"/>
      <c r="L275" s="18"/>
    </row>
    <row r="276" customFormat="false" ht="15" hidden="false" customHeight="false" outlineLevel="0" collapsed="false">
      <c r="A276" s="17"/>
      <c r="B276" s="18"/>
      <c r="C276" s="18"/>
      <c r="D276" s="18"/>
      <c r="E276" s="18"/>
      <c r="F276" s="19"/>
      <c r="G276" s="19"/>
      <c r="H276" s="15" t="str">
        <f aca="false">IF(AND(F276="",G276=""),"",N(F276)+N(G276))</f>
        <v/>
      </c>
      <c r="I276" s="18"/>
      <c r="J276" s="18"/>
      <c r="K276" s="20"/>
      <c r="L276" s="18"/>
    </row>
    <row r="277" customFormat="false" ht="15" hidden="false" customHeight="false" outlineLevel="0" collapsed="false">
      <c r="A277" s="17"/>
      <c r="B277" s="18"/>
      <c r="C277" s="18"/>
      <c r="D277" s="18"/>
      <c r="E277" s="18"/>
      <c r="F277" s="19"/>
      <c r="G277" s="19"/>
      <c r="H277" s="15" t="str">
        <f aca="false">IF(AND(F277="",G277=""),"",N(F277)+N(G277))</f>
        <v/>
      </c>
      <c r="I277" s="18"/>
      <c r="J277" s="18"/>
      <c r="K277" s="20"/>
      <c r="L277" s="18"/>
    </row>
    <row r="278" customFormat="false" ht="15" hidden="false" customHeight="false" outlineLevel="0" collapsed="false">
      <c r="A278" s="17"/>
      <c r="B278" s="18"/>
      <c r="C278" s="18"/>
      <c r="D278" s="18"/>
      <c r="E278" s="18"/>
      <c r="F278" s="19"/>
      <c r="G278" s="19"/>
      <c r="H278" s="15" t="str">
        <f aca="false">IF(AND(F278="",G278=""),"",N(F278)+N(G278))</f>
        <v/>
      </c>
      <c r="I278" s="18"/>
      <c r="J278" s="18"/>
      <c r="K278" s="20"/>
      <c r="L278" s="18"/>
    </row>
    <row r="279" customFormat="false" ht="15" hidden="false" customHeight="false" outlineLevel="0" collapsed="false">
      <c r="A279" s="17"/>
      <c r="B279" s="18"/>
      <c r="C279" s="18"/>
      <c r="D279" s="18"/>
      <c r="E279" s="18"/>
      <c r="F279" s="19"/>
      <c r="G279" s="19"/>
      <c r="H279" s="15" t="str">
        <f aca="false">IF(AND(F279="",G279=""),"",N(F279)+N(G279))</f>
        <v/>
      </c>
      <c r="I279" s="18"/>
      <c r="J279" s="18"/>
      <c r="K279" s="20"/>
      <c r="L279" s="18"/>
    </row>
    <row r="280" customFormat="false" ht="15" hidden="false" customHeight="false" outlineLevel="0" collapsed="false">
      <c r="A280" s="17"/>
      <c r="B280" s="18"/>
      <c r="C280" s="18"/>
      <c r="D280" s="18"/>
      <c r="E280" s="18"/>
      <c r="F280" s="19"/>
      <c r="G280" s="19"/>
      <c r="H280" s="15" t="str">
        <f aca="false">IF(AND(F280="",G280=""),"",N(F280)+N(G280))</f>
        <v/>
      </c>
      <c r="I280" s="18"/>
      <c r="J280" s="18"/>
      <c r="K280" s="20"/>
      <c r="L280" s="18"/>
    </row>
    <row r="281" customFormat="false" ht="15" hidden="false" customHeight="false" outlineLevel="0" collapsed="false">
      <c r="A281" s="17"/>
      <c r="B281" s="18"/>
      <c r="C281" s="18"/>
      <c r="D281" s="18"/>
      <c r="E281" s="18"/>
      <c r="F281" s="19"/>
      <c r="G281" s="19"/>
      <c r="H281" s="15" t="str">
        <f aca="false">IF(AND(F281="",G281=""),"",N(F281)+N(G281))</f>
        <v/>
      </c>
      <c r="I281" s="18"/>
      <c r="J281" s="18"/>
      <c r="K281" s="20"/>
      <c r="L281" s="18"/>
    </row>
    <row r="282" customFormat="false" ht="15" hidden="false" customHeight="false" outlineLevel="0" collapsed="false">
      <c r="A282" s="17"/>
      <c r="B282" s="18"/>
      <c r="C282" s="18"/>
      <c r="D282" s="18"/>
      <c r="E282" s="18"/>
      <c r="F282" s="19"/>
      <c r="G282" s="19"/>
      <c r="H282" s="15" t="str">
        <f aca="false">IF(AND(F282="",G282=""),"",N(F282)+N(G282))</f>
        <v/>
      </c>
      <c r="I282" s="18"/>
      <c r="J282" s="18"/>
      <c r="K282" s="20"/>
      <c r="L282" s="18"/>
    </row>
    <row r="283" customFormat="false" ht="15" hidden="false" customHeight="false" outlineLevel="0" collapsed="false">
      <c r="A283" s="17"/>
      <c r="B283" s="18"/>
      <c r="C283" s="18"/>
      <c r="D283" s="18"/>
      <c r="E283" s="18"/>
      <c r="F283" s="19"/>
      <c r="G283" s="19"/>
      <c r="H283" s="15" t="str">
        <f aca="false">IF(AND(F283="",G283=""),"",N(F283)+N(G283))</f>
        <v/>
      </c>
      <c r="I283" s="18"/>
      <c r="J283" s="18"/>
      <c r="K283" s="20"/>
      <c r="L283" s="18"/>
    </row>
    <row r="284" customFormat="false" ht="15" hidden="false" customHeight="false" outlineLevel="0" collapsed="false">
      <c r="A284" s="17"/>
      <c r="B284" s="18"/>
      <c r="C284" s="18"/>
      <c r="D284" s="18"/>
      <c r="E284" s="18"/>
      <c r="F284" s="19"/>
      <c r="G284" s="19"/>
      <c r="H284" s="15" t="str">
        <f aca="false">IF(AND(F284="",G284=""),"",N(F284)+N(G284))</f>
        <v/>
      </c>
      <c r="I284" s="18"/>
      <c r="J284" s="18"/>
      <c r="K284" s="20"/>
      <c r="L284" s="18"/>
    </row>
    <row r="285" customFormat="false" ht="15" hidden="false" customHeight="false" outlineLevel="0" collapsed="false">
      <c r="A285" s="17"/>
      <c r="B285" s="18"/>
      <c r="C285" s="18"/>
      <c r="D285" s="18"/>
      <c r="E285" s="18"/>
      <c r="F285" s="19"/>
      <c r="G285" s="19"/>
      <c r="H285" s="15" t="str">
        <f aca="false">IF(AND(F285="",G285=""),"",N(F285)+N(G285))</f>
        <v/>
      </c>
      <c r="I285" s="18"/>
      <c r="J285" s="18"/>
      <c r="K285" s="20"/>
      <c r="L285" s="18"/>
    </row>
    <row r="286" customFormat="false" ht="15" hidden="false" customHeight="false" outlineLevel="0" collapsed="false">
      <c r="A286" s="17"/>
      <c r="B286" s="18"/>
      <c r="C286" s="18"/>
      <c r="D286" s="18"/>
      <c r="E286" s="18"/>
      <c r="F286" s="19"/>
      <c r="G286" s="19"/>
      <c r="H286" s="15" t="str">
        <f aca="false">IF(AND(F286="",G286=""),"",N(F286)+N(G286))</f>
        <v/>
      </c>
      <c r="I286" s="18"/>
      <c r="J286" s="18"/>
      <c r="K286" s="20"/>
      <c r="L286" s="18"/>
    </row>
    <row r="287" customFormat="false" ht="15" hidden="false" customHeight="false" outlineLevel="0" collapsed="false">
      <c r="A287" s="17"/>
      <c r="B287" s="18"/>
      <c r="C287" s="18"/>
      <c r="D287" s="18"/>
      <c r="E287" s="18"/>
      <c r="F287" s="19"/>
      <c r="G287" s="19"/>
      <c r="H287" s="15" t="str">
        <f aca="false">IF(AND(F287="",G287=""),"",N(F287)+N(G287))</f>
        <v/>
      </c>
      <c r="I287" s="18"/>
      <c r="J287" s="18"/>
      <c r="K287" s="20"/>
      <c r="L287" s="18"/>
    </row>
    <row r="288" customFormat="false" ht="15" hidden="false" customHeight="false" outlineLevel="0" collapsed="false">
      <c r="A288" s="17"/>
      <c r="B288" s="18"/>
      <c r="C288" s="18"/>
      <c r="D288" s="18"/>
      <c r="E288" s="18"/>
      <c r="F288" s="19"/>
      <c r="G288" s="19"/>
      <c r="H288" s="15" t="str">
        <f aca="false">IF(AND(F288="",G288=""),"",N(F288)+N(G288))</f>
        <v/>
      </c>
      <c r="I288" s="18"/>
      <c r="J288" s="18"/>
      <c r="K288" s="20"/>
      <c r="L288" s="18"/>
    </row>
    <row r="289" customFormat="false" ht="15" hidden="false" customHeight="false" outlineLevel="0" collapsed="false">
      <c r="A289" s="17"/>
      <c r="B289" s="18"/>
      <c r="C289" s="18"/>
      <c r="D289" s="18"/>
      <c r="E289" s="18"/>
      <c r="F289" s="19"/>
      <c r="G289" s="19"/>
      <c r="H289" s="15" t="str">
        <f aca="false">IF(AND(F289="",G289=""),"",N(F289)+N(G289))</f>
        <v/>
      </c>
      <c r="I289" s="18"/>
      <c r="J289" s="18"/>
      <c r="K289" s="20"/>
      <c r="L289" s="18"/>
    </row>
    <row r="290" customFormat="false" ht="15" hidden="false" customHeight="false" outlineLevel="0" collapsed="false">
      <c r="A290" s="17"/>
      <c r="B290" s="18"/>
      <c r="C290" s="18"/>
      <c r="D290" s="18"/>
      <c r="E290" s="18"/>
      <c r="F290" s="19"/>
      <c r="G290" s="19"/>
      <c r="H290" s="15" t="str">
        <f aca="false">IF(AND(F290="",G290=""),"",N(F290)+N(G290))</f>
        <v/>
      </c>
      <c r="I290" s="18"/>
      <c r="J290" s="18"/>
      <c r="K290" s="20"/>
      <c r="L290" s="18"/>
    </row>
    <row r="291" customFormat="false" ht="15" hidden="false" customHeight="false" outlineLevel="0" collapsed="false">
      <c r="A291" s="17"/>
      <c r="B291" s="18"/>
      <c r="C291" s="18"/>
      <c r="D291" s="18"/>
      <c r="E291" s="18"/>
      <c r="F291" s="19"/>
      <c r="G291" s="19"/>
      <c r="H291" s="15" t="str">
        <f aca="false">IF(AND(F291="",G291=""),"",N(F291)+N(G291))</f>
        <v/>
      </c>
      <c r="I291" s="18"/>
      <c r="J291" s="18"/>
      <c r="K291" s="20"/>
      <c r="L291" s="18"/>
    </row>
    <row r="292" customFormat="false" ht="15" hidden="false" customHeight="false" outlineLevel="0" collapsed="false">
      <c r="A292" s="17"/>
      <c r="B292" s="18"/>
      <c r="C292" s="18"/>
      <c r="D292" s="18"/>
      <c r="E292" s="18"/>
      <c r="F292" s="19"/>
      <c r="G292" s="19"/>
      <c r="H292" s="15" t="str">
        <f aca="false">IF(AND(F292="",G292=""),"",N(F292)+N(G292))</f>
        <v/>
      </c>
      <c r="I292" s="18"/>
      <c r="J292" s="18"/>
      <c r="K292" s="20"/>
      <c r="L292" s="18"/>
    </row>
    <row r="293" customFormat="false" ht="15" hidden="false" customHeight="false" outlineLevel="0" collapsed="false">
      <c r="A293" s="17"/>
      <c r="B293" s="18"/>
      <c r="C293" s="18"/>
      <c r="D293" s="18"/>
      <c r="E293" s="18"/>
      <c r="F293" s="19"/>
      <c r="G293" s="19"/>
      <c r="H293" s="15" t="str">
        <f aca="false">IF(AND(F293="",G293=""),"",N(F293)+N(G293))</f>
        <v/>
      </c>
      <c r="I293" s="18"/>
      <c r="J293" s="18"/>
      <c r="K293" s="20"/>
      <c r="L293" s="18"/>
    </row>
    <row r="294" customFormat="false" ht="15" hidden="false" customHeight="false" outlineLevel="0" collapsed="false">
      <c r="A294" s="17"/>
      <c r="B294" s="18"/>
      <c r="C294" s="18"/>
      <c r="D294" s="18"/>
      <c r="E294" s="18"/>
      <c r="F294" s="19"/>
      <c r="G294" s="19"/>
      <c r="H294" s="15" t="str">
        <f aca="false">IF(AND(F294="",G294=""),"",N(F294)+N(G294))</f>
        <v/>
      </c>
      <c r="I294" s="18"/>
      <c r="J294" s="18"/>
      <c r="K294" s="20"/>
      <c r="L294" s="18"/>
    </row>
    <row r="295" customFormat="false" ht="15" hidden="false" customHeight="false" outlineLevel="0" collapsed="false">
      <c r="A295" s="17"/>
      <c r="B295" s="18"/>
      <c r="C295" s="18"/>
      <c r="D295" s="18"/>
      <c r="E295" s="18"/>
      <c r="F295" s="19"/>
      <c r="G295" s="19"/>
      <c r="H295" s="15" t="str">
        <f aca="false">IF(AND(F295="",G295=""),"",N(F295)+N(G295))</f>
        <v/>
      </c>
      <c r="I295" s="18"/>
      <c r="J295" s="18"/>
      <c r="K295" s="20"/>
      <c r="L295" s="18"/>
    </row>
    <row r="296" customFormat="false" ht="15" hidden="false" customHeight="false" outlineLevel="0" collapsed="false">
      <c r="A296" s="17"/>
      <c r="B296" s="18"/>
      <c r="C296" s="18"/>
      <c r="D296" s="18"/>
      <c r="E296" s="18"/>
      <c r="F296" s="19"/>
      <c r="G296" s="19"/>
      <c r="H296" s="15" t="str">
        <f aca="false">IF(AND(F296="",G296=""),"",N(F296)+N(G296))</f>
        <v/>
      </c>
      <c r="I296" s="18"/>
      <c r="J296" s="18"/>
      <c r="K296" s="20"/>
      <c r="L296" s="18"/>
    </row>
    <row r="297" customFormat="false" ht="15" hidden="false" customHeight="false" outlineLevel="0" collapsed="false">
      <c r="A297" s="17"/>
      <c r="B297" s="18"/>
      <c r="C297" s="18"/>
      <c r="D297" s="18"/>
      <c r="E297" s="18"/>
      <c r="F297" s="19"/>
      <c r="G297" s="19"/>
      <c r="H297" s="15" t="str">
        <f aca="false">IF(AND(F297="",G297=""),"",N(F297)+N(G297))</f>
        <v/>
      </c>
      <c r="I297" s="18"/>
      <c r="J297" s="18"/>
      <c r="K297" s="20"/>
      <c r="L297" s="18"/>
    </row>
    <row r="298" customFormat="false" ht="15" hidden="false" customHeight="false" outlineLevel="0" collapsed="false">
      <c r="A298" s="17"/>
      <c r="B298" s="18"/>
      <c r="C298" s="18"/>
      <c r="D298" s="18"/>
      <c r="E298" s="18"/>
      <c r="F298" s="19"/>
      <c r="G298" s="19"/>
      <c r="H298" s="15" t="str">
        <f aca="false">IF(AND(F298="",G298=""),"",N(F298)+N(G298))</f>
        <v/>
      </c>
      <c r="I298" s="18"/>
      <c r="J298" s="18"/>
      <c r="K298" s="20"/>
      <c r="L298" s="18"/>
    </row>
    <row r="299" customFormat="false" ht="15" hidden="false" customHeight="false" outlineLevel="0" collapsed="false">
      <c r="A299" s="17"/>
      <c r="B299" s="18"/>
      <c r="C299" s="18"/>
      <c r="D299" s="18"/>
      <c r="E299" s="18"/>
      <c r="F299" s="19"/>
      <c r="G299" s="19"/>
      <c r="H299" s="15" t="str">
        <f aca="false">IF(AND(F299="",G299=""),"",N(F299)+N(G299))</f>
        <v/>
      </c>
      <c r="I299" s="18"/>
      <c r="J299" s="18"/>
      <c r="K299" s="20"/>
      <c r="L299" s="18"/>
    </row>
    <row r="300" customFormat="false" ht="15" hidden="false" customHeight="false" outlineLevel="0" collapsed="false">
      <c r="A300" s="17"/>
      <c r="B300" s="18"/>
      <c r="C300" s="18"/>
      <c r="D300" s="18"/>
      <c r="E300" s="18"/>
      <c r="F300" s="19"/>
      <c r="G300" s="19"/>
      <c r="H300" s="15" t="str">
        <f aca="false">IF(AND(F300="",G300=""),"",N(F300)+N(G300))</f>
        <v/>
      </c>
      <c r="I300" s="18"/>
      <c r="J300" s="18"/>
      <c r="K300" s="20"/>
      <c r="L300" s="18"/>
    </row>
    <row r="301" customFormat="false" ht="15" hidden="false" customHeight="false" outlineLevel="0" collapsed="false">
      <c r="A301" s="17"/>
      <c r="B301" s="18"/>
      <c r="C301" s="18"/>
      <c r="D301" s="18"/>
      <c r="E301" s="18"/>
      <c r="F301" s="19"/>
      <c r="G301" s="19"/>
      <c r="H301" s="15" t="str">
        <f aca="false">IF(AND(F301="",G301=""),"",N(F301)+N(G301))</f>
        <v/>
      </c>
      <c r="I301" s="18"/>
      <c r="J301" s="18"/>
      <c r="K301" s="20"/>
      <c r="L301" s="18"/>
    </row>
    <row r="302" customFormat="false" ht="15" hidden="false" customHeight="false" outlineLevel="0" collapsed="false">
      <c r="A302" s="17"/>
      <c r="B302" s="18"/>
      <c r="C302" s="18"/>
      <c r="D302" s="18"/>
      <c r="E302" s="18"/>
      <c r="F302" s="19"/>
      <c r="G302" s="19"/>
      <c r="H302" s="15" t="str">
        <f aca="false">IF(AND(F302="",G302=""),"",N(F302)+N(G302))</f>
        <v/>
      </c>
      <c r="I302" s="18"/>
      <c r="J302" s="18"/>
      <c r="K302" s="20"/>
      <c r="L302" s="18"/>
    </row>
    <row r="303" customFormat="false" ht="15" hidden="false" customHeight="false" outlineLevel="0" collapsed="false">
      <c r="A303" s="17"/>
      <c r="B303" s="18"/>
      <c r="C303" s="18"/>
      <c r="D303" s="18"/>
      <c r="E303" s="18"/>
      <c r="F303" s="19"/>
      <c r="G303" s="19"/>
      <c r="H303" s="15" t="str">
        <f aca="false">IF(AND(F303="",G303=""),"",N(F303)+N(G303))</f>
        <v/>
      </c>
      <c r="I303" s="18"/>
      <c r="J303" s="18"/>
      <c r="K303" s="20"/>
      <c r="L303" s="18"/>
    </row>
  </sheetData>
  <autoFilter ref="A3:L303"/>
  <dataValidations count="4">
    <dataValidation allowBlank="true" error="Elegí un valor de la lista" errorStyle="stop" errorTitle="Valor no válido" operator="between" prompt="Mes del servicio (no del pago)" promptTitle="Cargar" showDropDown="false" showErrorMessage="false" showInputMessage="false" sqref="B4:B304" type="list">
      <formula1>"Enero,Febrero,Marzo,Abril,Mayo,Junio,Julio,Agosto,Septiembre,Octubre,Noviembre,Diciembre"</formula1>
      <formula2>0</formula2>
    </dataValidation>
    <dataValidation allowBlank="true" error="Elegí un valor de la lista" errorStyle="stop" errorTitle="Valor no válido" operator="between" showDropDown="false" showErrorMessage="false" showInputMessage="false" sqref="C4:C304" type="list">
      <formula1>"DO (cargas),Honorarios,Otros"</formula1>
      <formula2>0</formula2>
    </dataValidation>
    <dataValidation allowBlank="true" error="Elegí un valor de la lista" errorStyle="stop" errorTitle="Valor no válido" operator="between" prompt="CC = se descuenta de la cuenta corriente · Transferencia / Efectivo = pagado aparte" promptTitle="Cargar" showDropDown="false" showErrorMessage="false" showInputMessage="false" sqref="I4:I304" type="list">
      <formula1>"CC,Transferencia,Efectivo"</formula1>
      <formula2>0</formula2>
    </dataValidation>
    <dataValidation allowBlank="true" error="Elegí un valor de la lista" errorStyle="stop" errorTitle="Valor no válido" operator="between" showDropDown="false" showErrorMessage="false" showInputMessage="false" sqref="J4:J304" type="list">
      <formula1>"Saldado,Pendiente"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24" hidden="false" customHeight="tru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30" hidden="false" customHeight="true" outlineLevel="0" collapsed="false">
      <c r="A3" s="16" t="s">
        <v>57</v>
      </c>
      <c r="B3" s="16" t="s">
        <v>58</v>
      </c>
      <c r="C3" s="16" t="s">
        <v>59</v>
      </c>
      <c r="D3" s="16" t="s">
        <v>60</v>
      </c>
      <c r="E3" s="16" t="s">
        <v>61</v>
      </c>
      <c r="F3" s="16" t="s">
        <v>41</v>
      </c>
      <c r="G3" s="16" t="s">
        <v>62</v>
      </c>
      <c r="H3" s="16" t="s">
        <v>43</v>
      </c>
      <c r="I3" s="16" t="s">
        <v>45</v>
      </c>
    </row>
    <row r="4" customFormat="false" ht="15" hidden="false" customHeight="false" outlineLevel="0" collapsed="false">
      <c r="A4" s="20" t="n">
        <v>46219</v>
      </c>
      <c r="B4" s="18" t="s">
        <v>63</v>
      </c>
      <c r="C4" s="18" t="s">
        <v>64</v>
      </c>
      <c r="D4" s="21" t="s">
        <v>65</v>
      </c>
      <c r="E4" s="20" t="n">
        <v>46249</v>
      </c>
      <c r="F4" s="19" t="n">
        <v>5684230</v>
      </c>
      <c r="G4" s="19"/>
      <c r="H4" s="18" t="s">
        <v>66</v>
      </c>
      <c r="I4" s="18"/>
    </row>
    <row r="5" customFormat="false" ht="15" hidden="false" customHeight="false" outlineLevel="0" collapsed="false">
      <c r="A5" s="20" t="n">
        <v>46185</v>
      </c>
      <c r="B5" s="18" t="s">
        <v>67</v>
      </c>
      <c r="C5" s="18" t="s">
        <v>68</v>
      </c>
      <c r="D5" s="21" t="s">
        <v>69</v>
      </c>
      <c r="E5" s="20" t="n">
        <v>46285</v>
      </c>
      <c r="F5" s="19" t="n">
        <v>1750000</v>
      </c>
      <c r="G5" s="19"/>
      <c r="H5" s="18" t="s">
        <v>70</v>
      </c>
      <c r="I5" s="18"/>
    </row>
    <row r="6" customFormat="false" ht="15" hidden="false" customHeight="false" outlineLevel="0" collapsed="false">
      <c r="A6" s="20" t="n">
        <v>46224</v>
      </c>
      <c r="B6" s="18" t="s">
        <v>71</v>
      </c>
      <c r="C6" s="18" t="s">
        <v>68</v>
      </c>
      <c r="D6" s="21" t="s">
        <v>72</v>
      </c>
      <c r="E6" s="20" t="n">
        <v>46286</v>
      </c>
      <c r="F6" s="19" t="n">
        <v>870000</v>
      </c>
      <c r="G6" s="19"/>
      <c r="H6" s="18" t="s">
        <v>70</v>
      </c>
      <c r="I6" s="18"/>
    </row>
    <row r="7" customFormat="false" ht="15" hidden="false" customHeight="false" outlineLevel="0" collapsed="false">
      <c r="A7" s="20" t="n">
        <v>46198</v>
      </c>
      <c r="B7" s="18" t="s">
        <v>73</v>
      </c>
      <c r="C7" s="18" t="s">
        <v>68</v>
      </c>
      <c r="D7" s="21" t="s">
        <v>74</v>
      </c>
      <c r="E7" s="20" t="n">
        <v>46290</v>
      </c>
      <c r="F7" s="19" t="n">
        <v>300000</v>
      </c>
      <c r="G7" s="19"/>
      <c r="H7" s="18" t="s">
        <v>70</v>
      </c>
      <c r="I7" s="18"/>
    </row>
    <row r="8" customFormat="false" ht="15" hidden="false" customHeight="false" outlineLevel="0" collapsed="false">
      <c r="A8" s="20"/>
      <c r="B8" s="18"/>
      <c r="C8" s="18"/>
      <c r="D8" s="21"/>
      <c r="E8" s="20"/>
      <c r="F8" s="19"/>
      <c r="G8" s="19"/>
      <c r="H8" s="18"/>
      <c r="I8" s="18"/>
    </row>
    <row r="9" customFormat="false" ht="15" hidden="false" customHeight="false" outlineLevel="0" collapsed="false">
      <c r="A9" s="20"/>
      <c r="B9" s="18"/>
      <c r="C9" s="18"/>
      <c r="D9" s="21"/>
      <c r="E9" s="20"/>
      <c r="F9" s="19"/>
      <c r="G9" s="19"/>
      <c r="H9" s="18"/>
      <c r="I9" s="18"/>
    </row>
    <row r="10" customFormat="false" ht="15" hidden="false" customHeight="false" outlineLevel="0" collapsed="false">
      <c r="A10" s="20"/>
      <c r="B10" s="18"/>
      <c r="C10" s="18"/>
      <c r="D10" s="21"/>
      <c r="E10" s="20"/>
      <c r="F10" s="19"/>
      <c r="G10" s="19"/>
      <c r="H10" s="18"/>
      <c r="I10" s="18"/>
    </row>
    <row r="11" customFormat="false" ht="15" hidden="false" customHeight="false" outlineLevel="0" collapsed="false">
      <c r="A11" s="20"/>
      <c r="B11" s="18"/>
      <c r="C11" s="18"/>
      <c r="D11" s="21"/>
      <c r="E11" s="20"/>
      <c r="F11" s="19"/>
      <c r="G11" s="19"/>
      <c r="H11" s="18"/>
      <c r="I11" s="18"/>
    </row>
    <row r="12" customFormat="false" ht="15" hidden="false" customHeight="false" outlineLevel="0" collapsed="false">
      <c r="A12" s="20"/>
      <c r="B12" s="18"/>
      <c r="C12" s="18"/>
      <c r="D12" s="21"/>
      <c r="E12" s="20"/>
      <c r="F12" s="19"/>
      <c r="G12" s="19"/>
      <c r="H12" s="18"/>
      <c r="I12" s="18"/>
    </row>
    <row r="13" customFormat="false" ht="15" hidden="false" customHeight="false" outlineLevel="0" collapsed="false">
      <c r="A13" s="20"/>
      <c r="B13" s="18"/>
      <c r="C13" s="18"/>
      <c r="D13" s="21"/>
      <c r="E13" s="20"/>
      <c r="F13" s="19"/>
      <c r="G13" s="19"/>
      <c r="H13" s="18"/>
      <c r="I13" s="18"/>
    </row>
    <row r="14" customFormat="false" ht="15" hidden="false" customHeight="false" outlineLevel="0" collapsed="false">
      <c r="A14" s="20"/>
      <c r="B14" s="18"/>
      <c r="C14" s="18"/>
      <c r="D14" s="21"/>
      <c r="E14" s="20"/>
      <c r="F14" s="19"/>
      <c r="G14" s="19"/>
      <c r="H14" s="18"/>
      <c r="I14" s="18"/>
    </row>
    <row r="15" customFormat="false" ht="15" hidden="false" customHeight="false" outlineLevel="0" collapsed="false">
      <c r="A15" s="20"/>
      <c r="B15" s="18"/>
      <c r="C15" s="18"/>
      <c r="D15" s="21"/>
      <c r="E15" s="20"/>
      <c r="F15" s="19"/>
      <c r="G15" s="19"/>
      <c r="H15" s="18"/>
      <c r="I15" s="18"/>
    </row>
    <row r="16" customFormat="false" ht="15" hidden="false" customHeight="false" outlineLevel="0" collapsed="false">
      <c r="A16" s="20"/>
      <c r="B16" s="18"/>
      <c r="C16" s="18"/>
      <c r="D16" s="21"/>
      <c r="E16" s="20"/>
      <c r="F16" s="19"/>
      <c r="G16" s="19"/>
      <c r="H16" s="18"/>
      <c r="I16" s="18"/>
    </row>
    <row r="17" customFormat="false" ht="15" hidden="false" customHeight="false" outlineLevel="0" collapsed="false">
      <c r="A17" s="20"/>
      <c r="B17" s="18"/>
      <c r="C17" s="18"/>
      <c r="D17" s="21"/>
      <c r="E17" s="20"/>
      <c r="F17" s="19"/>
      <c r="G17" s="19"/>
      <c r="H17" s="18"/>
      <c r="I17" s="18"/>
    </row>
    <row r="18" customFormat="false" ht="15" hidden="false" customHeight="false" outlineLevel="0" collapsed="false">
      <c r="A18" s="20"/>
      <c r="B18" s="18"/>
      <c r="C18" s="18"/>
      <c r="D18" s="21"/>
      <c r="E18" s="20"/>
      <c r="F18" s="19"/>
      <c r="G18" s="19"/>
      <c r="H18" s="18"/>
      <c r="I18" s="18"/>
    </row>
    <row r="19" customFormat="false" ht="15" hidden="false" customHeight="false" outlineLevel="0" collapsed="false">
      <c r="A19" s="20"/>
      <c r="B19" s="18"/>
      <c r="C19" s="18"/>
      <c r="D19" s="21"/>
      <c r="E19" s="20"/>
      <c r="F19" s="19"/>
      <c r="G19" s="19"/>
      <c r="H19" s="18"/>
      <c r="I19" s="18"/>
    </row>
    <row r="20" customFormat="false" ht="15" hidden="false" customHeight="false" outlineLevel="0" collapsed="false">
      <c r="A20" s="20"/>
      <c r="B20" s="18"/>
      <c r="C20" s="18"/>
      <c r="D20" s="21"/>
      <c r="E20" s="20"/>
      <c r="F20" s="19"/>
      <c r="G20" s="19"/>
      <c r="H20" s="18"/>
      <c r="I20" s="18"/>
    </row>
    <row r="21" customFormat="false" ht="15" hidden="false" customHeight="false" outlineLevel="0" collapsed="false">
      <c r="A21" s="20"/>
      <c r="B21" s="18"/>
      <c r="C21" s="18"/>
      <c r="D21" s="21"/>
      <c r="E21" s="20"/>
      <c r="F21" s="19"/>
      <c r="G21" s="19"/>
      <c r="H21" s="18"/>
      <c r="I21" s="18"/>
    </row>
    <row r="22" customFormat="false" ht="15" hidden="false" customHeight="false" outlineLevel="0" collapsed="false">
      <c r="A22" s="20"/>
      <c r="B22" s="18"/>
      <c r="C22" s="18"/>
      <c r="D22" s="21"/>
      <c r="E22" s="20"/>
      <c r="F22" s="19"/>
      <c r="G22" s="19"/>
      <c r="H22" s="18"/>
      <c r="I22" s="18"/>
    </row>
    <row r="23" customFormat="false" ht="15" hidden="false" customHeight="false" outlineLevel="0" collapsed="false">
      <c r="A23" s="20"/>
      <c r="B23" s="18"/>
      <c r="C23" s="18"/>
      <c r="D23" s="21"/>
      <c r="E23" s="20"/>
      <c r="F23" s="19"/>
      <c r="G23" s="19"/>
      <c r="H23" s="18"/>
      <c r="I23" s="18"/>
    </row>
    <row r="24" customFormat="false" ht="15" hidden="false" customHeight="false" outlineLevel="0" collapsed="false">
      <c r="A24" s="20"/>
      <c r="B24" s="18"/>
      <c r="C24" s="18"/>
      <c r="D24" s="21"/>
      <c r="E24" s="20"/>
      <c r="F24" s="19"/>
      <c r="G24" s="19"/>
      <c r="H24" s="18"/>
      <c r="I24" s="18"/>
    </row>
    <row r="25" customFormat="false" ht="15" hidden="false" customHeight="false" outlineLevel="0" collapsed="false">
      <c r="A25" s="20"/>
      <c r="B25" s="18"/>
      <c r="C25" s="18"/>
      <c r="D25" s="21"/>
      <c r="E25" s="20"/>
      <c r="F25" s="19"/>
      <c r="G25" s="19"/>
      <c r="H25" s="18"/>
      <c r="I25" s="18"/>
    </row>
    <row r="26" customFormat="false" ht="15" hidden="false" customHeight="false" outlineLevel="0" collapsed="false">
      <c r="A26" s="20"/>
      <c r="B26" s="18"/>
      <c r="C26" s="18"/>
      <c r="D26" s="21"/>
      <c r="E26" s="20"/>
      <c r="F26" s="19"/>
      <c r="G26" s="19"/>
      <c r="H26" s="18"/>
      <c r="I26" s="18"/>
    </row>
    <row r="27" customFormat="false" ht="15" hidden="false" customHeight="false" outlineLevel="0" collapsed="false">
      <c r="A27" s="20"/>
      <c r="B27" s="18"/>
      <c r="C27" s="18"/>
      <c r="D27" s="21"/>
      <c r="E27" s="20"/>
      <c r="F27" s="19"/>
      <c r="G27" s="19"/>
      <c r="H27" s="18"/>
      <c r="I27" s="18"/>
    </row>
    <row r="28" customFormat="false" ht="15" hidden="false" customHeight="false" outlineLevel="0" collapsed="false">
      <c r="A28" s="20"/>
      <c r="B28" s="18"/>
      <c r="C28" s="18"/>
      <c r="D28" s="21"/>
      <c r="E28" s="20"/>
      <c r="F28" s="19"/>
      <c r="G28" s="19"/>
      <c r="H28" s="18"/>
      <c r="I28" s="18"/>
    </row>
    <row r="29" customFormat="false" ht="15" hidden="false" customHeight="false" outlineLevel="0" collapsed="false">
      <c r="A29" s="20"/>
      <c r="B29" s="18"/>
      <c r="C29" s="18"/>
      <c r="D29" s="21"/>
      <c r="E29" s="20"/>
      <c r="F29" s="19"/>
      <c r="G29" s="19"/>
      <c r="H29" s="18"/>
      <c r="I29" s="18"/>
    </row>
    <row r="30" customFormat="false" ht="15" hidden="false" customHeight="false" outlineLevel="0" collapsed="false">
      <c r="A30" s="20"/>
      <c r="B30" s="18"/>
      <c r="C30" s="18"/>
      <c r="D30" s="21"/>
      <c r="E30" s="20"/>
      <c r="F30" s="19"/>
      <c r="G30" s="19"/>
      <c r="H30" s="18"/>
      <c r="I30" s="18"/>
    </row>
    <row r="31" customFormat="false" ht="15" hidden="false" customHeight="false" outlineLevel="0" collapsed="false">
      <c r="A31" s="20"/>
      <c r="B31" s="18"/>
      <c r="C31" s="18"/>
      <c r="D31" s="21"/>
      <c r="E31" s="20"/>
      <c r="F31" s="19"/>
      <c r="G31" s="19"/>
      <c r="H31" s="18"/>
      <c r="I31" s="18"/>
    </row>
    <row r="32" customFormat="false" ht="15" hidden="false" customHeight="false" outlineLevel="0" collapsed="false">
      <c r="A32" s="20"/>
      <c r="B32" s="18"/>
      <c r="C32" s="18"/>
      <c r="D32" s="21"/>
      <c r="E32" s="20"/>
      <c r="F32" s="19"/>
      <c r="G32" s="19"/>
      <c r="H32" s="18"/>
      <c r="I32" s="18"/>
    </row>
    <row r="33" customFormat="false" ht="15" hidden="false" customHeight="false" outlineLevel="0" collapsed="false">
      <c r="A33" s="20"/>
      <c r="B33" s="18"/>
      <c r="C33" s="18"/>
      <c r="D33" s="21"/>
      <c r="E33" s="20"/>
      <c r="F33" s="19"/>
      <c r="G33" s="19"/>
      <c r="H33" s="18"/>
      <c r="I33" s="18"/>
    </row>
    <row r="34" customFormat="false" ht="15" hidden="false" customHeight="false" outlineLevel="0" collapsed="false">
      <c r="A34" s="20"/>
      <c r="B34" s="18"/>
      <c r="C34" s="18"/>
      <c r="D34" s="21"/>
      <c r="E34" s="20"/>
      <c r="F34" s="19"/>
      <c r="G34" s="19"/>
      <c r="H34" s="18"/>
      <c r="I34" s="18"/>
    </row>
    <row r="35" customFormat="false" ht="15" hidden="false" customHeight="false" outlineLevel="0" collapsed="false">
      <c r="A35" s="20"/>
      <c r="B35" s="18"/>
      <c r="C35" s="18"/>
      <c r="D35" s="21"/>
      <c r="E35" s="20"/>
      <c r="F35" s="19"/>
      <c r="G35" s="19"/>
      <c r="H35" s="18"/>
      <c r="I35" s="18"/>
    </row>
    <row r="36" customFormat="false" ht="15" hidden="false" customHeight="false" outlineLevel="0" collapsed="false">
      <c r="A36" s="20"/>
      <c r="B36" s="18"/>
      <c r="C36" s="18"/>
      <c r="D36" s="21"/>
      <c r="E36" s="20"/>
      <c r="F36" s="19"/>
      <c r="G36" s="19"/>
      <c r="H36" s="18"/>
      <c r="I36" s="18"/>
    </row>
    <row r="37" customFormat="false" ht="15" hidden="false" customHeight="false" outlineLevel="0" collapsed="false">
      <c r="A37" s="20"/>
      <c r="B37" s="18"/>
      <c r="C37" s="18"/>
      <c r="D37" s="21"/>
      <c r="E37" s="20"/>
      <c r="F37" s="19"/>
      <c r="G37" s="19"/>
      <c r="H37" s="18"/>
      <c r="I37" s="18"/>
    </row>
    <row r="38" customFormat="false" ht="15" hidden="false" customHeight="false" outlineLevel="0" collapsed="false">
      <c r="A38" s="20"/>
      <c r="B38" s="18"/>
      <c r="C38" s="18"/>
      <c r="D38" s="21"/>
      <c r="E38" s="20"/>
      <c r="F38" s="19"/>
      <c r="G38" s="19"/>
      <c r="H38" s="18"/>
      <c r="I38" s="18"/>
    </row>
    <row r="39" customFormat="false" ht="15" hidden="false" customHeight="false" outlineLevel="0" collapsed="false">
      <c r="A39" s="20"/>
      <c r="B39" s="18"/>
      <c r="C39" s="18"/>
      <c r="D39" s="21"/>
      <c r="E39" s="20"/>
      <c r="F39" s="19"/>
      <c r="G39" s="19"/>
      <c r="H39" s="18"/>
      <c r="I39" s="18"/>
    </row>
    <row r="40" customFormat="false" ht="15" hidden="false" customHeight="false" outlineLevel="0" collapsed="false">
      <c r="A40" s="20"/>
      <c r="B40" s="18"/>
      <c r="C40" s="18"/>
      <c r="D40" s="21"/>
      <c r="E40" s="20"/>
      <c r="F40" s="19"/>
      <c r="G40" s="19"/>
      <c r="H40" s="18"/>
      <c r="I40" s="18"/>
    </row>
    <row r="41" customFormat="false" ht="15" hidden="false" customHeight="false" outlineLevel="0" collapsed="false">
      <c r="A41" s="20"/>
      <c r="B41" s="18"/>
      <c r="C41" s="18"/>
      <c r="D41" s="21"/>
      <c r="E41" s="20"/>
      <c r="F41" s="19"/>
      <c r="G41" s="19"/>
      <c r="H41" s="18"/>
      <c r="I41" s="18"/>
    </row>
    <row r="42" customFormat="false" ht="15" hidden="false" customHeight="false" outlineLevel="0" collapsed="false">
      <c r="A42" s="20"/>
      <c r="B42" s="18"/>
      <c r="C42" s="18"/>
      <c r="D42" s="21"/>
      <c r="E42" s="20"/>
      <c r="F42" s="19"/>
      <c r="G42" s="19"/>
      <c r="H42" s="18"/>
      <c r="I42" s="18"/>
    </row>
    <row r="43" customFormat="false" ht="15" hidden="false" customHeight="false" outlineLevel="0" collapsed="false">
      <c r="A43" s="20"/>
      <c r="B43" s="18"/>
      <c r="C43" s="18"/>
      <c r="D43" s="21"/>
      <c r="E43" s="20"/>
      <c r="F43" s="19"/>
      <c r="G43" s="19"/>
      <c r="H43" s="18"/>
      <c r="I43" s="18"/>
    </row>
    <row r="44" customFormat="false" ht="15" hidden="false" customHeight="false" outlineLevel="0" collapsed="false">
      <c r="A44" s="20"/>
      <c r="B44" s="18"/>
      <c r="C44" s="18"/>
      <c r="D44" s="21"/>
      <c r="E44" s="20"/>
      <c r="F44" s="19"/>
      <c r="G44" s="19"/>
      <c r="H44" s="18"/>
      <c r="I44" s="18"/>
    </row>
    <row r="45" customFormat="false" ht="15" hidden="false" customHeight="false" outlineLevel="0" collapsed="false">
      <c r="A45" s="20"/>
      <c r="B45" s="18"/>
      <c r="C45" s="18"/>
      <c r="D45" s="21"/>
      <c r="E45" s="20"/>
      <c r="F45" s="19"/>
      <c r="G45" s="19"/>
      <c r="H45" s="18"/>
      <c r="I45" s="18"/>
    </row>
    <row r="46" customFormat="false" ht="15" hidden="false" customHeight="false" outlineLevel="0" collapsed="false">
      <c r="A46" s="20"/>
      <c r="B46" s="18"/>
      <c r="C46" s="18"/>
      <c r="D46" s="21"/>
      <c r="E46" s="20"/>
      <c r="F46" s="19"/>
      <c r="G46" s="19"/>
      <c r="H46" s="18"/>
      <c r="I46" s="18"/>
    </row>
    <row r="47" customFormat="false" ht="15" hidden="false" customHeight="false" outlineLevel="0" collapsed="false">
      <c r="A47" s="20"/>
      <c r="B47" s="18"/>
      <c r="C47" s="18"/>
      <c r="D47" s="21"/>
      <c r="E47" s="20"/>
      <c r="F47" s="19"/>
      <c r="G47" s="19"/>
      <c r="H47" s="18"/>
      <c r="I47" s="18"/>
    </row>
    <row r="48" customFormat="false" ht="15" hidden="false" customHeight="false" outlineLevel="0" collapsed="false">
      <c r="A48" s="20"/>
      <c r="B48" s="18"/>
      <c r="C48" s="18"/>
      <c r="D48" s="21"/>
      <c r="E48" s="20"/>
      <c r="F48" s="19"/>
      <c r="G48" s="19"/>
      <c r="H48" s="18"/>
      <c r="I48" s="18"/>
    </row>
    <row r="49" customFormat="false" ht="15" hidden="false" customHeight="false" outlineLevel="0" collapsed="false">
      <c r="A49" s="20"/>
      <c r="B49" s="18"/>
      <c r="C49" s="18"/>
      <c r="D49" s="21"/>
      <c r="E49" s="20"/>
      <c r="F49" s="19"/>
      <c r="G49" s="19"/>
      <c r="H49" s="18"/>
      <c r="I49" s="18"/>
    </row>
    <row r="50" customFormat="false" ht="15" hidden="false" customHeight="false" outlineLevel="0" collapsed="false">
      <c r="A50" s="20"/>
      <c r="B50" s="18"/>
      <c r="C50" s="18"/>
      <c r="D50" s="21"/>
      <c r="E50" s="20"/>
      <c r="F50" s="19"/>
      <c r="G50" s="19"/>
      <c r="H50" s="18"/>
      <c r="I50" s="18"/>
    </row>
    <row r="51" customFormat="false" ht="15" hidden="false" customHeight="false" outlineLevel="0" collapsed="false">
      <c r="A51" s="20"/>
      <c r="B51" s="18"/>
      <c r="C51" s="18"/>
      <c r="D51" s="21"/>
      <c r="E51" s="20"/>
      <c r="F51" s="19"/>
      <c r="G51" s="19"/>
      <c r="H51" s="18"/>
      <c r="I51" s="18"/>
    </row>
    <row r="52" customFormat="false" ht="15" hidden="false" customHeight="false" outlineLevel="0" collapsed="false">
      <c r="A52" s="20"/>
      <c r="B52" s="18"/>
      <c r="C52" s="18"/>
      <c r="D52" s="21"/>
      <c r="E52" s="20"/>
      <c r="F52" s="19"/>
      <c r="G52" s="19"/>
      <c r="H52" s="18"/>
      <c r="I52" s="18"/>
    </row>
    <row r="53" customFormat="false" ht="15" hidden="false" customHeight="false" outlineLevel="0" collapsed="false">
      <c r="A53" s="20"/>
      <c r="B53" s="18"/>
      <c r="C53" s="18"/>
      <c r="D53" s="21"/>
      <c r="E53" s="20"/>
      <c r="F53" s="19"/>
      <c r="G53" s="19"/>
      <c r="H53" s="18"/>
      <c r="I53" s="18"/>
    </row>
    <row r="54" customFormat="false" ht="15" hidden="false" customHeight="false" outlineLevel="0" collapsed="false">
      <c r="A54" s="20"/>
      <c r="B54" s="18"/>
      <c r="C54" s="18"/>
      <c r="D54" s="21"/>
      <c r="E54" s="20"/>
      <c r="F54" s="19"/>
      <c r="G54" s="19"/>
      <c r="H54" s="18"/>
      <c r="I54" s="18"/>
    </row>
    <row r="55" customFormat="false" ht="15" hidden="false" customHeight="false" outlineLevel="0" collapsed="false">
      <c r="A55" s="20"/>
      <c r="B55" s="18"/>
      <c r="C55" s="18"/>
      <c r="D55" s="21"/>
      <c r="E55" s="20"/>
      <c r="F55" s="19"/>
      <c r="G55" s="19"/>
      <c r="H55" s="18"/>
      <c r="I55" s="18"/>
    </row>
    <row r="56" customFormat="false" ht="15" hidden="false" customHeight="false" outlineLevel="0" collapsed="false">
      <c r="A56" s="20"/>
      <c r="B56" s="18"/>
      <c r="C56" s="18"/>
      <c r="D56" s="21"/>
      <c r="E56" s="20"/>
      <c r="F56" s="19"/>
      <c r="G56" s="19"/>
      <c r="H56" s="18"/>
      <c r="I56" s="18"/>
    </row>
    <row r="57" customFormat="false" ht="15" hidden="false" customHeight="false" outlineLevel="0" collapsed="false">
      <c r="A57" s="20"/>
      <c r="B57" s="18"/>
      <c r="C57" s="18"/>
      <c r="D57" s="21"/>
      <c r="E57" s="20"/>
      <c r="F57" s="19"/>
      <c r="G57" s="19"/>
      <c r="H57" s="18"/>
      <c r="I57" s="18"/>
    </row>
    <row r="58" customFormat="false" ht="15" hidden="false" customHeight="false" outlineLevel="0" collapsed="false">
      <c r="A58" s="20"/>
      <c r="B58" s="18"/>
      <c r="C58" s="18"/>
      <c r="D58" s="21"/>
      <c r="E58" s="20"/>
      <c r="F58" s="19"/>
      <c r="G58" s="19"/>
      <c r="H58" s="18"/>
      <c r="I58" s="18"/>
    </row>
    <row r="59" customFormat="false" ht="15" hidden="false" customHeight="false" outlineLevel="0" collapsed="false">
      <c r="A59" s="20"/>
      <c r="B59" s="18"/>
      <c r="C59" s="18"/>
      <c r="D59" s="21"/>
      <c r="E59" s="20"/>
      <c r="F59" s="19"/>
      <c r="G59" s="19"/>
      <c r="H59" s="18"/>
      <c r="I59" s="18"/>
    </row>
    <row r="60" customFormat="false" ht="15" hidden="false" customHeight="false" outlineLevel="0" collapsed="false">
      <c r="A60" s="20"/>
      <c r="B60" s="18"/>
      <c r="C60" s="18"/>
      <c r="D60" s="21"/>
      <c r="E60" s="20"/>
      <c r="F60" s="19"/>
      <c r="G60" s="19"/>
      <c r="H60" s="18"/>
      <c r="I60" s="18"/>
    </row>
    <row r="61" customFormat="false" ht="15" hidden="false" customHeight="false" outlineLevel="0" collapsed="false">
      <c r="A61" s="20"/>
      <c r="B61" s="18"/>
      <c r="C61" s="18"/>
      <c r="D61" s="21"/>
      <c r="E61" s="20"/>
      <c r="F61" s="19"/>
      <c r="G61" s="19"/>
      <c r="H61" s="18"/>
      <c r="I61" s="18"/>
    </row>
    <row r="62" customFormat="false" ht="15" hidden="false" customHeight="false" outlineLevel="0" collapsed="false">
      <c r="A62" s="20"/>
      <c r="B62" s="18"/>
      <c r="C62" s="18"/>
      <c r="D62" s="21"/>
      <c r="E62" s="20"/>
      <c r="F62" s="19"/>
      <c r="G62" s="19"/>
      <c r="H62" s="18"/>
      <c r="I62" s="18"/>
    </row>
    <row r="63" customFormat="false" ht="15" hidden="false" customHeight="false" outlineLevel="0" collapsed="false">
      <c r="A63" s="20"/>
      <c r="B63" s="18"/>
      <c r="C63" s="18"/>
      <c r="D63" s="21"/>
      <c r="E63" s="20"/>
      <c r="F63" s="19"/>
      <c r="G63" s="19"/>
      <c r="H63" s="18"/>
      <c r="I63" s="18"/>
    </row>
    <row r="64" customFormat="false" ht="15" hidden="false" customHeight="false" outlineLevel="0" collapsed="false">
      <c r="A64" s="20"/>
      <c r="B64" s="18"/>
      <c r="C64" s="18"/>
      <c r="D64" s="21"/>
      <c r="E64" s="20"/>
      <c r="F64" s="19"/>
      <c r="G64" s="19"/>
      <c r="H64" s="18"/>
      <c r="I64" s="18"/>
    </row>
    <row r="65" customFormat="false" ht="15" hidden="false" customHeight="false" outlineLevel="0" collapsed="false">
      <c r="A65" s="20"/>
      <c r="B65" s="18"/>
      <c r="C65" s="18"/>
      <c r="D65" s="21"/>
      <c r="E65" s="20"/>
      <c r="F65" s="19"/>
      <c r="G65" s="19"/>
      <c r="H65" s="18"/>
      <c r="I65" s="18"/>
    </row>
    <row r="66" customFormat="false" ht="15" hidden="false" customHeight="false" outlineLevel="0" collapsed="false">
      <c r="A66" s="20"/>
      <c r="B66" s="18"/>
      <c r="C66" s="18"/>
      <c r="D66" s="21"/>
      <c r="E66" s="20"/>
      <c r="F66" s="19"/>
      <c r="G66" s="19"/>
      <c r="H66" s="18"/>
      <c r="I66" s="18"/>
    </row>
    <row r="67" customFormat="false" ht="15" hidden="false" customHeight="false" outlineLevel="0" collapsed="false">
      <c r="A67" s="20"/>
      <c r="B67" s="18"/>
      <c r="C67" s="18"/>
      <c r="D67" s="21"/>
      <c r="E67" s="20"/>
      <c r="F67" s="19"/>
      <c r="G67" s="19"/>
      <c r="H67" s="18"/>
      <c r="I67" s="18"/>
    </row>
    <row r="68" customFormat="false" ht="15" hidden="false" customHeight="false" outlineLevel="0" collapsed="false">
      <c r="A68" s="20"/>
      <c r="B68" s="18"/>
      <c r="C68" s="18"/>
      <c r="D68" s="21"/>
      <c r="E68" s="20"/>
      <c r="F68" s="19"/>
      <c r="G68" s="19"/>
      <c r="H68" s="18"/>
      <c r="I68" s="18"/>
    </row>
    <row r="69" customFormat="false" ht="15" hidden="false" customHeight="false" outlineLevel="0" collapsed="false">
      <c r="A69" s="20"/>
      <c r="B69" s="18"/>
      <c r="C69" s="18"/>
      <c r="D69" s="21"/>
      <c r="E69" s="20"/>
      <c r="F69" s="19"/>
      <c r="G69" s="19"/>
      <c r="H69" s="18"/>
      <c r="I69" s="18"/>
    </row>
    <row r="70" customFormat="false" ht="15" hidden="false" customHeight="false" outlineLevel="0" collapsed="false">
      <c r="A70" s="20"/>
      <c r="B70" s="18"/>
      <c r="C70" s="18"/>
      <c r="D70" s="21"/>
      <c r="E70" s="20"/>
      <c r="F70" s="19"/>
      <c r="G70" s="19"/>
      <c r="H70" s="18"/>
      <c r="I70" s="18"/>
    </row>
    <row r="71" customFormat="false" ht="15" hidden="false" customHeight="false" outlineLevel="0" collapsed="false">
      <c r="A71" s="20"/>
      <c r="B71" s="18"/>
      <c r="C71" s="18"/>
      <c r="D71" s="21"/>
      <c r="E71" s="20"/>
      <c r="F71" s="19"/>
      <c r="G71" s="19"/>
      <c r="H71" s="18"/>
      <c r="I71" s="18"/>
    </row>
    <row r="72" customFormat="false" ht="15" hidden="false" customHeight="false" outlineLevel="0" collapsed="false">
      <c r="A72" s="20"/>
      <c r="B72" s="18"/>
      <c r="C72" s="18"/>
      <c r="D72" s="21"/>
      <c r="E72" s="20"/>
      <c r="F72" s="19"/>
      <c r="G72" s="19"/>
      <c r="H72" s="18"/>
      <c r="I72" s="18"/>
    </row>
    <row r="73" customFormat="false" ht="15" hidden="false" customHeight="false" outlineLevel="0" collapsed="false">
      <c r="A73" s="20"/>
      <c r="B73" s="18"/>
      <c r="C73" s="18"/>
      <c r="D73" s="21"/>
      <c r="E73" s="20"/>
      <c r="F73" s="19"/>
      <c r="G73" s="19"/>
      <c r="H73" s="18"/>
      <c r="I73" s="18"/>
    </row>
    <row r="74" customFormat="false" ht="15" hidden="false" customHeight="false" outlineLevel="0" collapsed="false">
      <c r="A74" s="20"/>
      <c r="B74" s="18"/>
      <c r="C74" s="18"/>
      <c r="D74" s="21"/>
      <c r="E74" s="20"/>
      <c r="F74" s="19"/>
      <c r="G74" s="19"/>
      <c r="H74" s="18"/>
      <c r="I74" s="18"/>
    </row>
    <row r="75" customFormat="false" ht="15" hidden="false" customHeight="false" outlineLevel="0" collapsed="false">
      <c r="A75" s="20"/>
      <c r="B75" s="18"/>
      <c r="C75" s="18"/>
      <c r="D75" s="21"/>
      <c r="E75" s="20"/>
      <c r="F75" s="19"/>
      <c r="G75" s="19"/>
      <c r="H75" s="18"/>
      <c r="I75" s="18"/>
    </row>
    <row r="76" customFormat="false" ht="15" hidden="false" customHeight="false" outlineLevel="0" collapsed="false">
      <c r="A76" s="20"/>
      <c r="B76" s="18"/>
      <c r="C76" s="18"/>
      <c r="D76" s="21"/>
      <c r="E76" s="20"/>
      <c r="F76" s="19"/>
      <c r="G76" s="19"/>
      <c r="H76" s="18"/>
      <c r="I76" s="18"/>
    </row>
    <row r="77" customFormat="false" ht="15" hidden="false" customHeight="false" outlineLevel="0" collapsed="false">
      <c r="A77" s="20"/>
      <c r="B77" s="18"/>
      <c r="C77" s="18"/>
      <c r="D77" s="21"/>
      <c r="E77" s="20"/>
      <c r="F77" s="19"/>
      <c r="G77" s="19"/>
      <c r="H77" s="18"/>
      <c r="I77" s="18"/>
    </row>
    <row r="78" customFormat="false" ht="15" hidden="false" customHeight="false" outlineLevel="0" collapsed="false">
      <c r="A78" s="20"/>
      <c r="B78" s="18"/>
      <c r="C78" s="18"/>
      <c r="D78" s="21"/>
      <c r="E78" s="20"/>
      <c r="F78" s="19"/>
      <c r="G78" s="19"/>
      <c r="H78" s="18"/>
      <c r="I78" s="18"/>
    </row>
    <row r="79" customFormat="false" ht="15" hidden="false" customHeight="false" outlineLevel="0" collapsed="false">
      <c r="A79" s="20"/>
      <c r="B79" s="18"/>
      <c r="C79" s="18"/>
      <c r="D79" s="21"/>
      <c r="E79" s="20"/>
      <c r="F79" s="19"/>
      <c r="G79" s="19"/>
      <c r="H79" s="18"/>
      <c r="I79" s="18"/>
    </row>
    <row r="80" customFormat="false" ht="15" hidden="false" customHeight="false" outlineLevel="0" collapsed="false">
      <c r="A80" s="20"/>
      <c r="B80" s="18"/>
      <c r="C80" s="18"/>
      <c r="D80" s="21"/>
      <c r="E80" s="20"/>
      <c r="F80" s="19"/>
      <c r="G80" s="19"/>
      <c r="H80" s="18"/>
      <c r="I80" s="18"/>
    </row>
    <row r="81" customFormat="false" ht="15" hidden="false" customHeight="false" outlineLevel="0" collapsed="false">
      <c r="A81" s="20"/>
      <c r="B81" s="18"/>
      <c r="C81" s="18"/>
      <c r="D81" s="21"/>
      <c r="E81" s="20"/>
      <c r="F81" s="19"/>
      <c r="G81" s="19"/>
      <c r="H81" s="18"/>
      <c r="I81" s="18"/>
    </row>
    <row r="82" customFormat="false" ht="15" hidden="false" customHeight="false" outlineLevel="0" collapsed="false">
      <c r="A82" s="20"/>
      <c r="B82" s="18"/>
      <c r="C82" s="18"/>
      <c r="D82" s="21"/>
      <c r="E82" s="20"/>
      <c r="F82" s="19"/>
      <c r="G82" s="19"/>
      <c r="H82" s="18"/>
      <c r="I82" s="18"/>
    </row>
    <row r="83" customFormat="false" ht="15" hidden="false" customHeight="false" outlineLevel="0" collapsed="false">
      <c r="A83" s="20"/>
      <c r="B83" s="18"/>
      <c r="C83" s="18"/>
      <c r="D83" s="21"/>
      <c r="E83" s="20"/>
      <c r="F83" s="19"/>
      <c r="G83" s="19"/>
      <c r="H83" s="18"/>
      <c r="I83" s="18"/>
    </row>
    <row r="84" customFormat="false" ht="15" hidden="false" customHeight="false" outlineLevel="0" collapsed="false">
      <c r="A84" s="20"/>
      <c r="B84" s="18"/>
      <c r="C84" s="18"/>
      <c r="D84" s="21"/>
      <c r="E84" s="20"/>
      <c r="F84" s="19"/>
      <c r="G84" s="19"/>
      <c r="H84" s="18"/>
      <c r="I84" s="18"/>
    </row>
    <row r="85" customFormat="false" ht="15" hidden="false" customHeight="false" outlineLevel="0" collapsed="false">
      <c r="A85" s="20"/>
      <c r="B85" s="18"/>
      <c r="C85" s="18"/>
      <c r="D85" s="21"/>
      <c r="E85" s="20"/>
      <c r="F85" s="19"/>
      <c r="G85" s="19"/>
      <c r="H85" s="18"/>
      <c r="I85" s="18"/>
    </row>
    <row r="86" customFormat="false" ht="15" hidden="false" customHeight="false" outlineLevel="0" collapsed="false">
      <c r="A86" s="20"/>
      <c r="B86" s="18"/>
      <c r="C86" s="18"/>
      <c r="D86" s="21"/>
      <c r="E86" s="20"/>
      <c r="F86" s="19"/>
      <c r="G86" s="19"/>
      <c r="H86" s="18"/>
      <c r="I86" s="18"/>
    </row>
    <row r="87" customFormat="false" ht="15" hidden="false" customHeight="false" outlineLevel="0" collapsed="false">
      <c r="A87" s="20"/>
      <c r="B87" s="18"/>
      <c r="C87" s="18"/>
      <c r="D87" s="21"/>
      <c r="E87" s="20"/>
      <c r="F87" s="19"/>
      <c r="G87" s="19"/>
      <c r="H87" s="18"/>
      <c r="I87" s="18"/>
    </row>
    <row r="88" customFormat="false" ht="15" hidden="false" customHeight="false" outlineLevel="0" collapsed="false">
      <c r="A88" s="20"/>
      <c r="B88" s="18"/>
      <c r="C88" s="18"/>
      <c r="D88" s="21"/>
      <c r="E88" s="20"/>
      <c r="F88" s="19"/>
      <c r="G88" s="19"/>
      <c r="H88" s="18"/>
      <c r="I88" s="18"/>
    </row>
    <row r="89" customFormat="false" ht="15" hidden="false" customHeight="false" outlineLevel="0" collapsed="false">
      <c r="A89" s="20"/>
      <c r="B89" s="18"/>
      <c r="C89" s="18"/>
      <c r="D89" s="21"/>
      <c r="E89" s="20"/>
      <c r="F89" s="19"/>
      <c r="G89" s="19"/>
      <c r="H89" s="18"/>
      <c r="I89" s="18"/>
    </row>
    <row r="90" customFormat="false" ht="15" hidden="false" customHeight="false" outlineLevel="0" collapsed="false">
      <c r="A90" s="20"/>
      <c r="B90" s="18"/>
      <c r="C90" s="18"/>
      <c r="D90" s="21"/>
      <c r="E90" s="20"/>
      <c r="F90" s="19"/>
      <c r="G90" s="19"/>
      <c r="H90" s="18"/>
      <c r="I90" s="18"/>
    </row>
    <row r="91" customFormat="false" ht="15" hidden="false" customHeight="false" outlineLevel="0" collapsed="false">
      <c r="A91" s="20"/>
      <c r="B91" s="18"/>
      <c r="C91" s="18"/>
      <c r="D91" s="21"/>
      <c r="E91" s="20"/>
      <c r="F91" s="19"/>
      <c r="G91" s="19"/>
      <c r="H91" s="18"/>
      <c r="I91" s="18"/>
    </row>
    <row r="92" customFormat="false" ht="15" hidden="false" customHeight="false" outlineLevel="0" collapsed="false">
      <c r="A92" s="20"/>
      <c r="B92" s="18"/>
      <c r="C92" s="18"/>
      <c r="D92" s="21"/>
      <c r="E92" s="20"/>
      <c r="F92" s="19"/>
      <c r="G92" s="19"/>
      <c r="H92" s="18"/>
      <c r="I92" s="18"/>
    </row>
    <row r="93" customFormat="false" ht="15" hidden="false" customHeight="false" outlineLevel="0" collapsed="false">
      <c r="A93" s="20"/>
      <c r="B93" s="18"/>
      <c r="C93" s="18"/>
      <c r="D93" s="21"/>
      <c r="E93" s="20"/>
      <c r="F93" s="19"/>
      <c r="G93" s="19"/>
      <c r="H93" s="18"/>
      <c r="I93" s="18"/>
    </row>
    <row r="94" customFormat="false" ht="15" hidden="false" customHeight="false" outlineLevel="0" collapsed="false">
      <c r="A94" s="20"/>
      <c r="B94" s="18"/>
      <c r="C94" s="18"/>
      <c r="D94" s="21"/>
      <c r="E94" s="20"/>
      <c r="F94" s="19"/>
      <c r="G94" s="19"/>
      <c r="H94" s="18"/>
      <c r="I94" s="18"/>
    </row>
    <row r="95" customFormat="false" ht="15" hidden="false" customHeight="false" outlineLevel="0" collapsed="false">
      <c r="A95" s="20"/>
      <c r="B95" s="18"/>
      <c r="C95" s="18"/>
      <c r="D95" s="21"/>
      <c r="E95" s="20"/>
      <c r="F95" s="19"/>
      <c r="G95" s="19"/>
      <c r="H95" s="18"/>
      <c r="I95" s="18"/>
    </row>
    <row r="96" customFormat="false" ht="15" hidden="false" customHeight="false" outlineLevel="0" collapsed="false">
      <c r="A96" s="20"/>
      <c r="B96" s="18"/>
      <c r="C96" s="18"/>
      <c r="D96" s="21"/>
      <c r="E96" s="20"/>
      <c r="F96" s="19"/>
      <c r="G96" s="19"/>
      <c r="H96" s="18"/>
      <c r="I96" s="18"/>
    </row>
    <row r="97" customFormat="false" ht="15" hidden="false" customHeight="false" outlineLevel="0" collapsed="false">
      <c r="A97" s="20"/>
      <c r="B97" s="18"/>
      <c r="C97" s="18"/>
      <c r="D97" s="21"/>
      <c r="E97" s="20"/>
      <c r="F97" s="19"/>
      <c r="G97" s="19"/>
      <c r="H97" s="18"/>
      <c r="I97" s="18"/>
    </row>
    <row r="98" customFormat="false" ht="15" hidden="false" customHeight="false" outlineLevel="0" collapsed="false">
      <c r="A98" s="20"/>
      <c r="B98" s="18"/>
      <c r="C98" s="18"/>
      <c r="D98" s="21"/>
      <c r="E98" s="20"/>
      <c r="F98" s="19"/>
      <c r="G98" s="19"/>
      <c r="H98" s="18"/>
      <c r="I98" s="18"/>
    </row>
    <row r="99" customFormat="false" ht="15" hidden="false" customHeight="false" outlineLevel="0" collapsed="false">
      <c r="A99" s="20"/>
      <c r="B99" s="18"/>
      <c r="C99" s="18"/>
      <c r="D99" s="21"/>
      <c r="E99" s="20"/>
      <c r="F99" s="19"/>
      <c r="G99" s="19"/>
      <c r="H99" s="18"/>
      <c r="I99" s="18"/>
    </row>
    <row r="100" customFormat="false" ht="15" hidden="false" customHeight="false" outlineLevel="0" collapsed="false">
      <c r="A100" s="20"/>
      <c r="B100" s="18"/>
      <c r="C100" s="18"/>
      <c r="D100" s="21"/>
      <c r="E100" s="20"/>
      <c r="F100" s="19"/>
      <c r="G100" s="19"/>
      <c r="H100" s="18"/>
      <c r="I100" s="18"/>
    </row>
    <row r="101" customFormat="false" ht="15" hidden="false" customHeight="false" outlineLevel="0" collapsed="false">
      <c r="A101" s="20"/>
      <c r="B101" s="18"/>
      <c r="C101" s="18"/>
      <c r="D101" s="21"/>
      <c r="E101" s="20"/>
      <c r="F101" s="19"/>
      <c r="G101" s="19"/>
      <c r="H101" s="18"/>
      <c r="I101" s="18"/>
    </row>
    <row r="102" customFormat="false" ht="15" hidden="false" customHeight="false" outlineLevel="0" collapsed="false">
      <c r="A102" s="20"/>
      <c r="B102" s="18"/>
      <c r="C102" s="18"/>
      <c r="D102" s="21"/>
      <c r="E102" s="20"/>
      <c r="F102" s="19"/>
      <c r="G102" s="19"/>
      <c r="H102" s="18"/>
      <c r="I102" s="18"/>
    </row>
    <row r="103" customFormat="false" ht="15" hidden="false" customHeight="false" outlineLevel="0" collapsed="false">
      <c r="A103" s="20"/>
      <c r="B103" s="18"/>
      <c r="C103" s="18"/>
      <c r="D103" s="21"/>
      <c r="E103" s="20"/>
      <c r="F103" s="19"/>
      <c r="G103" s="19"/>
      <c r="H103" s="18"/>
      <c r="I103" s="18"/>
    </row>
    <row r="104" customFormat="false" ht="15" hidden="false" customHeight="false" outlineLevel="0" collapsed="false">
      <c r="A104" s="20"/>
      <c r="B104" s="18"/>
      <c r="C104" s="18"/>
      <c r="D104" s="21"/>
      <c r="E104" s="20"/>
      <c r="F104" s="19"/>
      <c r="G104" s="19"/>
      <c r="H104" s="18"/>
      <c r="I104" s="18"/>
    </row>
    <row r="105" customFormat="false" ht="15" hidden="false" customHeight="false" outlineLevel="0" collapsed="false">
      <c r="A105" s="20"/>
      <c r="B105" s="18"/>
      <c r="C105" s="18"/>
      <c r="D105" s="21"/>
      <c r="E105" s="20"/>
      <c r="F105" s="19"/>
      <c r="G105" s="19"/>
      <c r="H105" s="18"/>
      <c r="I105" s="18"/>
    </row>
    <row r="106" customFormat="false" ht="15" hidden="false" customHeight="false" outlineLevel="0" collapsed="false">
      <c r="A106" s="20"/>
      <c r="B106" s="18"/>
      <c r="C106" s="18"/>
      <c r="D106" s="21"/>
      <c r="E106" s="20"/>
      <c r="F106" s="19"/>
      <c r="G106" s="19"/>
      <c r="H106" s="18"/>
      <c r="I106" s="18"/>
    </row>
    <row r="107" customFormat="false" ht="15" hidden="false" customHeight="false" outlineLevel="0" collapsed="false">
      <c r="A107" s="20"/>
      <c r="B107" s="18"/>
      <c r="C107" s="18"/>
      <c r="D107" s="21"/>
      <c r="E107" s="20"/>
      <c r="F107" s="19"/>
      <c r="G107" s="19"/>
      <c r="H107" s="18"/>
      <c r="I107" s="18"/>
    </row>
    <row r="108" customFormat="false" ht="15" hidden="false" customHeight="false" outlineLevel="0" collapsed="false">
      <c r="A108" s="20"/>
      <c r="B108" s="18"/>
      <c r="C108" s="18"/>
      <c r="D108" s="21"/>
      <c r="E108" s="20"/>
      <c r="F108" s="19"/>
      <c r="G108" s="19"/>
      <c r="H108" s="18"/>
      <c r="I108" s="18"/>
    </row>
    <row r="109" customFormat="false" ht="15" hidden="false" customHeight="false" outlineLevel="0" collapsed="false">
      <c r="A109" s="20"/>
      <c r="B109" s="18"/>
      <c r="C109" s="18"/>
      <c r="D109" s="21"/>
      <c r="E109" s="20"/>
      <c r="F109" s="19"/>
      <c r="G109" s="19"/>
      <c r="H109" s="18"/>
      <c r="I109" s="18"/>
    </row>
    <row r="110" customFormat="false" ht="15" hidden="false" customHeight="false" outlineLevel="0" collapsed="false">
      <c r="A110" s="20"/>
      <c r="B110" s="18"/>
      <c r="C110" s="18"/>
      <c r="D110" s="21"/>
      <c r="E110" s="20"/>
      <c r="F110" s="19"/>
      <c r="G110" s="19"/>
      <c r="H110" s="18"/>
      <c r="I110" s="18"/>
    </row>
    <row r="111" customFormat="false" ht="15" hidden="false" customHeight="false" outlineLevel="0" collapsed="false">
      <c r="A111" s="20"/>
      <c r="B111" s="18"/>
      <c r="C111" s="18"/>
      <c r="D111" s="21"/>
      <c r="E111" s="20"/>
      <c r="F111" s="19"/>
      <c r="G111" s="19"/>
      <c r="H111" s="18"/>
      <c r="I111" s="18"/>
    </row>
    <row r="112" customFormat="false" ht="15" hidden="false" customHeight="false" outlineLevel="0" collapsed="false">
      <c r="A112" s="20"/>
      <c r="B112" s="18"/>
      <c r="C112" s="18"/>
      <c r="D112" s="21"/>
      <c r="E112" s="20"/>
      <c r="F112" s="19"/>
      <c r="G112" s="19"/>
      <c r="H112" s="18"/>
      <c r="I112" s="18"/>
    </row>
    <row r="113" customFormat="false" ht="15" hidden="false" customHeight="false" outlineLevel="0" collapsed="false">
      <c r="A113" s="20"/>
      <c r="B113" s="18"/>
      <c r="C113" s="18"/>
      <c r="D113" s="21"/>
      <c r="E113" s="20"/>
      <c r="F113" s="19"/>
      <c r="G113" s="19"/>
      <c r="H113" s="18"/>
      <c r="I113" s="18"/>
    </row>
    <row r="114" customFormat="false" ht="15" hidden="false" customHeight="false" outlineLevel="0" collapsed="false">
      <c r="A114" s="20"/>
      <c r="B114" s="18"/>
      <c r="C114" s="18"/>
      <c r="D114" s="21"/>
      <c r="E114" s="20"/>
      <c r="F114" s="19"/>
      <c r="G114" s="19"/>
      <c r="H114" s="18"/>
      <c r="I114" s="18"/>
    </row>
    <row r="115" customFormat="false" ht="15" hidden="false" customHeight="false" outlineLevel="0" collapsed="false">
      <c r="A115" s="20"/>
      <c r="B115" s="18"/>
      <c r="C115" s="18"/>
      <c r="D115" s="21"/>
      <c r="E115" s="20"/>
      <c r="F115" s="19"/>
      <c r="G115" s="19"/>
      <c r="H115" s="18"/>
      <c r="I115" s="18"/>
    </row>
    <row r="116" customFormat="false" ht="15" hidden="false" customHeight="false" outlineLevel="0" collapsed="false">
      <c r="A116" s="20"/>
      <c r="B116" s="18"/>
      <c r="C116" s="18"/>
      <c r="D116" s="21"/>
      <c r="E116" s="20"/>
      <c r="F116" s="19"/>
      <c r="G116" s="19"/>
      <c r="H116" s="18"/>
      <c r="I116" s="18"/>
    </row>
    <row r="117" customFormat="false" ht="15" hidden="false" customHeight="false" outlineLevel="0" collapsed="false">
      <c r="A117" s="20"/>
      <c r="B117" s="18"/>
      <c r="C117" s="18"/>
      <c r="D117" s="21"/>
      <c r="E117" s="20"/>
      <c r="F117" s="19"/>
      <c r="G117" s="19"/>
      <c r="H117" s="18"/>
      <c r="I117" s="18"/>
    </row>
    <row r="118" customFormat="false" ht="15" hidden="false" customHeight="false" outlineLevel="0" collapsed="false">
      <c r="A118" s="20"/>
      <c r="B118" s="18"/>
      <c r="C118" s="18"/>
      <c r="D118" s="21"/>
      <c r="E118" s="20"/>
      <c r="F118" s="19"/>
      <c r="G118" s="19"/>
      <c r="H118" s="18"/>
      <c r="I118" s="18"/>
    </row>
    <row r="119" customFormat="false" ht="15" hidden="false" customHeight="false" outlineLevel="0" collapsed="false">
      <c r="A119" s="20"/>
      <c r="B119" s="18"/>
      <c r="C119" s="18"/>
      <c r="D119" s="21"/>
      <c r="E119" s="20"/>
      <c r="F119" s="19"/>
      <c r="G119" s="19"/>
      <c r="H119" s="18"/>
      <c r="I119" s="18"/>
    </row>
    <row r="120" customFormat="false" ht="15" hidden="false" customHeight="false" outlineLevel="0" collapsed="false">
      <c r="A120" s="20"/>
      <c r="B120" s="18"/>
      <c r="C120" s="18"/>
      <c r="D120" s="21"/>
      <c r="E120" s="20"/>
      <c r="F120" s="19"/>
      <c r="G120" s="19"/>
      <c r="H120" s="18"/>
      <c r="I120" s="18"/>
    </row>
    <row r="121" customFormat="false" ht="15" hidden="false" customHeight="false" outlineLevel="0" collapsed="false">
      <c r="A121" s="20"/>
      <c r="B121" s="18"/>
      <c r="C121" s="18"/>
      <c r="D121" s="21"/>
      <c r="E121" s="20"/>
      <c r="F121" s="19"/>
      <c r="G121" s="19"/>
      <c r="H121" s="18"/>
      <c r="I121" s="18"/>
    </row>
    <row r="122" customFormat="false" ht="15" hidden="false" customHeight="false" outlineLevel="0" collapsed="false">
      <c r="A122" s="20"/>
      <c r="B122" s="18"/>
      <c r="C122" s="18"/>
      <c r="D122" s="21"/>
      <c r="E122" s="20"/>
      <c r="F122" s="19"/>
      <c r="G122" s="19"/>
      <c r="H122" s="18"/>
      <c r="I122" s="18"/>
    </row>
    <row r="123" customFormat="false" ht="15" hidden="false" customHeight="false" outlineLevel="0" collapsed="false">
      <c r="A123" s="20"/>
      <c r="B123" s="18"/>
      <c r="C123" s="18"/>
      <c r="D123" s="21"/>
      <c r="E123" s="20"/>
      <c r="F123" s="19"/>
      <c r="G123" s="19"/>
      <c r="H123" s="18"/>
      <c r="I123" s="18"/>
    </row>
    <row r="124" customFormat="false" ht="15" hidden="false" customHeight="false" outlineLevel="0" collapsed="false">
      <c r="A124" s="20"/>
      <c r="B124" s="18"/>
      <c r="C124" s="18"/>
      <c r="D124" s="21"/>
      <c r="E124" s="20"/>
      <c r="F124" s="19"/>
      <c r="G124" s="19"/>
      <c r="H124" s="18"/>
      <c r="I124" s="18"/>
    </row>
    <row r="125" customFormat="false" ht="15" hidden="false" customHeight="false" outlineLevel="0" collapsed="false">
      <c r="A125" s="20"/>
      <c r="B125" s="18"/>
      <c r="C125" s="18"/>
      <c r="D125" s="21"/>
      <c r="E125" s="20"/>
      <c r="F125" s="19"/>
      <c r="G125" s="19"/>
      <c r="H125" s="18"/>
      <c r="I125" s="18"/>
    </row>
    <row r="126" customFormat="false" ht="15" hidden="false" customHeight="false" outlineLevel="0" collapsed="false">
      <c r="A126" s="20"/>
      <c r="B126" s="18"/>
      <c r="C126" s="18"/>
      <c r="D126" s="21"/>
      <c r="E126" s="20"/>
      <c r="F126" s="19"/>
      <c r="G126" s="19"/>
      <c r="H126" s="18"/>
      <c r="I126" s="18"/>
    </row>
    <row r="127" customFormat="false" ht="15" hidden="false" customHeight="false" outlineLevel="0" collapsed="false">
      <c r="A127" s="20"/>
      <c r="B127" s="18"/>
      <c r="C127" s="18"/>
      <c r="D127" s="21"/>
      <c r="E127" s="20"/>
      <c r="F127" s="19"/>
      <c r="G127" s="19"/>
      <c r="H127" s="18"/>
      <c r="I127" s="18"/>
    </row>
    <row r="128" customFormat="false" ht="15" hidden="false" customHeight="false" outlineLevel="0" collapsed="false">
      <c r="A128" s="20"/>
      <c r="B128" s="18"/>
      <c r="C128" s="18"/>
      <c r="D128" s="21"/>
      <c r="E128" s="20"/>
      <c r="F128" s="19"/>
      <c r="G128" s="19"/>
      <c r="H128" s="18"/>
      <c r="I128" s="18"/>
    </row>
    <row r="129" customFormat="false" ht="15" hidden="false" customHeight="false" outlineLevel="0" collapsed="false">
      <c r="A129" s="20"/>
      <c r="B129" s="18"/>
      <c r="C129" s="18"/>
      <c r="D129" s="21"/>
      <c r="E129" s="20"/>
      <c r="F129" s="19"/>
      <c r="G129" s="19"/>
      <c r="H129" s="18"/>
      <c r="I129" s="18"/>
    </row>
    <row r="130" customFormat="false" ht="15" hidden="false" customHeight="false" outlineLevel="0" collapsed="false">
      <c r="A130" s="20"/>
      <c r="B130" s="18"/>
      <c r="C130" s="18"/>
      <c r="D130" s="21"/>
      <c r="E130" s="20"/>
      <c r="F130" s="19"/>
      <c r="G130" s="19"/>
      <c r="H130" s="18"/>
      <c r="I130" s="18"/>
    </row>
    <row r="131" customFormat="false" ht="15" hidden="false" customHeight="false" outlineLevel="0" collapsed="false">
      <c r="A131" s="20"/>
      <c r="B131" s="18"/>
      <c r="C131" s="18"/>
      <c r="D131" s="21"/>
      <c r="E131" s="20"/>
      <c r="F131" s="19"/>
      <c r="G131" s="19"/>
      <c r="H131" s="18"/>
      <c r="I131" s="18"/>
    </row>
    <row r="132" customFormat="false" ht="15" hidden="false" customHeight="false" outlineLevel="0" collapsed="false">
      <c r="A132" s="20"/>
      <c r="B132" s="18"/>
      <c r="C132" s="18"/>
      <c r="D132" s="21"/>
      <c r="E132" s="20"/>
      <c r="F132" s="19"/>
      <c r="G132" s="19"/>
      <c r="H132" s="18"/>
      <c r="I132" s="18"/>
    </row>
    <row r="133" customFormat="false" ht="15" hidden="false" customHeight="false" outlineLevel="0" collapsed="false">
      <c r="A133" s="20"/>
      <c r="B133" s="18"/>
      <c r="C133" s="18"/>
      <c r="D133" s="21"/>
      <c r="E133" s="20"/>
      <c r="F133" s="19"/>
      <c r="G133" s="19"/>
      <c r="H133" s="18"/>
      <c r="I133" s="18"/>
    </row>
    <row r="134" customFormat="false" ht="15" hidden="false" customHeight="false" outlineLevel="0" collapsed="false">
      <c r="A134" s="20"/>
      <c r="B134" s="18"/>
      <c r="C134" s="18"/>
      <c r="D134" s="21"/>
      <c r="E134" s="20"/>
      <c r="F134" s="19"/>
      <c r="G134" s="19"/>
      <c r="H134" s="18"/>
      <c r="I134" s="18"/>
    </row>
    <row r="135" customFormat="false" ht="15" hidden="false" customHeight="false" outlineLevel="0" collapsed="false">
      <c r="A135" s="20"/>
      <c r="B135" s="18"/>
      <c r="C135" s="18"/>
      <c r="D135" s="21"/>
      <c r="E135" s="20"/>
      <c r="F135" s="19"/>
      <c r="G135" s="19"/>
      <c r="H135" s="18"/>
      <c r="I135" s="18"/>
    </row>
    <row r="136" customFormat="false" ht="15" hidden="false" customHeight="false" outlineLevel="0" collapsed="false">
      <c r="A136" s="20"/>
      <c r="B136" s="18"/>
      <c r="C136" s="18"/>
      <c r="D136" s="21"/>
      <c r="E136" s="20"/>
      <c r="F136" s="19"/>
      <c r="G136" s="19"/>
      <c r="H136" s="18"/>
      <c r="I136" s="18"/>
    </row>
    <row r="137" customFormat="false" ht="15" hidden="false" customHeight="false" outlineLevel="0" collapsed="false">
      <c r="A137" s="20"/>
      <c r="B137" s="18"/>
      <c r="C137" s="18"/>
      <c r="D137" s="21"/>
      <c r="E137" s="20"/>
      <c r="F137" s="19"/>
      <c r="G137" s="19"/>
      <c r="H137" s="18"/>
      <c r="I137" s="18"/>
    </row>
    <row r="138" customFormat="false" ht="15" hidden="false" customHeight="false" outlineLevel="0" collapsed="false">
      <c r="A138" s="20"/>
      <c r="B138" s="18"/>
      <c r="C138" s="18"/>
      <c r="D138" s="21"/>
      <c r="E138" s="20"/>
      <c r="F138" s="19"/>
      <c r="G138" s="19"/>
      <c r="H138" s="18"/>
      <c r="I138" s="18"/>
    </row>
    <row r="139" customFormat="false" ht="15" hidden="false" customHeight="false" outlineLevel="0" collapsed="false">
      <c r="A139" s="20"/>
      <c r="B139" s="18"/>
      <c r="C139" s="18"/>
      <c r="D139" s="21"/>
      <c r="E139" s="20"/>
      <c r="F139" s="19"/>
      <c r="G139" s="19"/>
      <c r="H139" s="18"/>
      <c r="I139" s="18"/>
    </row>
    <row r="140" customFormat="false" ht="15" hidden="false" customHeight="false" outlineLevel="0" collapsed="false">
      <c r="A140" s="20"/>
      <c r="B140" s="18"/>
      <c r="C140" s="18"/>
      <c r="D140" s="21"/>
      <c r="E140" s="20"/>
      <c r="F140" s="19"/>
      <c r="G140" s="19"/>
      <c r="H140" s="18"/>
      <c r="I140" s="18"/>
    </row>
    <row r="141" customFormat="false" ht="15" hidden="false" customHeight="false" outlineLevel="0" collapsed="false">
      <c r="A141" s="20"/>
      <c r="B141" s="18"/>
      <c r="C141" s="18"/>
      <c r="D141" s="21"/>
      <c r="E141" s="20"/>
      <c r="F141" s="19"/>
      <c r="G141" s="19"/>
      <c r="H141" s="18"/>
      <c r="I141" s="18"/>
    </row>
    <row r="142" customFormat="false" ht="15" hidden="false" customHeight="false" outlineLevel="0" collapsed="false">
      <c r="A142" s="20"/>
      <c r="B142" s="18"/>
      <c r="C142" s="18"/>
      <c r="D142" s="21"/>
      <c r="E142" s="20"/>
      <c r="F142" s="19"/>
      <c r="G142" s="19"/>
      <c r="H142" s="18"/>
      <c r="I142" s="18"/>
    </row>
    <row r="143" customFormat="false" ht="15" hidden="false" customHeight="false" outlineLevel="0" collapsed="false">
      <c r="A143" s="20"/>
      <c r="B143" s="18"/>
      <c r="C143" s="18"/>
      <c r="D143" s="21"/>
      <c r="E143" s="20"/>
      <c r="F143" s="19"/>
      <c r="G143" s="19"/>
      <c r="H143" s="18"/>
      <c r="I143" s="18"/>
    </row>
    <row r="144" customFormat="false" ht="15" hidden="false" customHeight="false" outlineLevel="0" collapsed="false">
      <c r="A144" s="20"/>
      <c r="B144" s="18"/>
      <c r="C144" s="18"/>
      <c r="D144" s="21"/>
      <c r="E144" s="20"/>
      <c r="F144" s="19"/>
      <c r="G144" s="19"/>
      <c r="H144" s="18"/>
      <c r="I144" s="18"/>
    </row>
    <row r="145" customFormat="false" ht="15" hidden="false" customHeight="false" outlineLevel="0" collapsed="false">
      <c r="A145" s="20"/>
      <c r="B145" s="18"/>
      <c r="C145" s="18"/>
      <c r="D145" s="21"/>
      <c r="E145" s="20"/>
      <c r="F145" s="19"/>
      <c r="G145" s="19"/>
      <c r="H145" s="18"/>
      <c r="I145" s="18"/>
    </row>
    <row r="146" customFormat="false" ht="15" hidden="false" customHeight="false" outlineLevel="0" collapsed="false">
      <c r="A146" s="20"/>
      <c r="B146" s="18"/>
      <c r="C146" s="18"/>
      <c r="D146" s="21"/>
      <c r="E146" s="20"/>
      <c r="F146" s="19"/>
      <c r="G146" s="19"/>
      <c r="H146" s="18"/>
      <c r="I146" s="18"/>
    </row>
    <row r="147" customFormat="false" ht="15" hidden="false" customHeight="false" outlineLevel="0" collapsed="false">
      <c r="A147" s="20"/>
      <c r="B147" s="18"/>
      <c r="C147" s="18"/>
      <c r="D147" s="21"/>
      <c r="E147" s="20"/>
      <c r="F147" s="19"/>
      <c r="G147" s="19"/>
      <c r="H147" s="18"/>
      <c r="I147" s="18"/>
    </row>
    <row r="148" customFormat="false" ht="15" hidden="false" customHeight="false" outlineLevel="0" collapsed="false">
      <c r="A148" s="20"/>
      <c r="B148" s="18"/>
      <c r="C148" s="18"/>
      <c r="D148" s="21"/>
      <c r="E148" s="20"/>
      <c r="F148" s="19"/>
      <c r="G148" s="19"/>
      <c r="H148" s="18"/>
      <c r="I148" s="18"/>
    </row>
    <row r="149" customFormat="false" ht="15" hidden="false" customHeight="false" outlineLevel="0" collapsed="false">
      <c r="A149" s="20"/>
      <c r="B149" s="18"/>
      <c r="C149" s="18"/>
      <c r="D149" s="21"/>
      <c r="E149" s="20"/>
      <c r="F149" s="19"/>
      <c r="G149" s="19"/>
      <c r="H149" s="18"/>
      <c r="I149" s="18"/>
    </row>
    <row r="150" customFormat="false" ht="15" hidden="false" customHeight="false" outlineLevel="0" collapsed="false">
      <c r="A150" s="20"/>
      <c r="B150" s="18"/>
      <c r="C150" s="18"/>
      <c r="D150" s="21"/>
      <c r="E150" s="20"/>
      <c r="F150" s="19"/>
      <c r="G150" s="19"/>
      <c r="H150" s="18"/>
      <c r="I150" s="18"/>
    </row>
    <row r="151" customFormat="false" ht="15" hidden="false" customHeight="false" outlineLevel="0" collapsed="false">
      <c r="A151" s="20"/>
      <c r="B151" s="18"/>
      <c r="C151" s="18"/>
      <c r="D151" s="21"/>
      <c r="E151" s="20"/>
      <c r="F151" s="19"/>
      <c r="G151" s="19"/>
      <c r="H151" s="18"/>
      <c r="I151" s="18"/>
    </row>
    <row r="152" customFormat="false" ht="15" hidden="false" customHeight="false" outlineLevel="0" collapsed="false">
      <c r="A152" s="20"/>
      <c r="B152" s="18"/>
      <c r="C152" s="18"/>
      <c r="D152" s="21"/>
      <c r="E152" s="20"/>
      <c r="F152" s="19"/>
      <c r="G152" s="19"/>
      <c r="H152" s="18"/>
      <c r="I152" s="18"/>
    </row>
    <row r="153" customFormat="false" ht="15" hidden="false" customHeight="false" outlineLevel="0" collapsed="false">
      <c r="A153" s="20"/>
      <c r="B153" s="18"/>
      <c r="C153" s="18"/>
      <c r="D153" s="21"/>
      <c r="E153" s="20"/>
      <c r="F153" s="19"/>
      <c r="G153" s="19"/>
      <c r="H153" s="18"/>
      <c r="I153" s="18"/>
    </row>
    <row r="154" customFormat="false" ht="15" hidden="false" customHeight="false" outlineLevel="0" collapsed="false">
      <c r="A154" s="20"/>
      <c r="B154" s="18"/>
      <c r="C154" s="18"/>
      <c r="D154" s="21"/>
      <c r="E154" s="20"/>
      <c r="F154" s="19"/>
      <c r="G154" s="19"/>
      <c r="H154" s="18"/>
      <c r="I154" s="18"/>
    </row>
    <row r="155" customFormat="false" ht="15" hidden="false" customHeight="false" outlineLevel="0" collapsed="false">
      <c r="A155" s="20"/>
      <c r="B155" s="18"/>
      <c r="C155" s="18"/>
      <c r="D155" s="21"/>
      <c r="E155" s="20"/>
      <c r="F155" s="19"/>
      <c r="G155" s="19"/>
      <c r="H155" s="18"/>
      <c r="I155" s="18"/>
    </row>
    <row r="156" customFormat="false" ht="15" hidden="false" customHeight="false" outlineLevel="0" collapsed="false">
      <c r="A156" s="20"/>
      <c r="B156" s="18"/>
      <c r="C156" s="18"/>
      <c r="D156" s="21"/>
      <c r="E156" s="20"/>
      <c r="F156" s="19"/>
      <c r="G156" s="19"/>
      <c r="H156" s="18"/>
      <c r="I156" s="18"/>
    </row>
    <row r="157" customFormat="false" ht="15" hidden="false" customHeight="false" outlineLevel="0" collapsed="false">
      <c r="A157" s="20"/>
      <c r="B157" s="18"/>
      <c r="C157" s="18"/>
      <c r="D157" s="21"/>
      <c r="E157" s="20"/>
      <c r="F157" s="19"/>
      <c r="G157" s="19"/>
      <c r="H157" s="18"/>
      <c r="I157" s="18"/>
    </row>
    <row r="158" customFormat="false" ht="15" hidden="false" customHeight="false" outlineLevel="0" collapsed="false">
      <c r="A158" s="20"/>
      <c r="B158" s="18"/>
      <c r="C158" s="18"/>
      <c r="D158" s="21"/>
      <c r="E158" s="20"/>
      <c r="F158" s="19"/>
      <c r="G158" s="19"/>
      <c r="H158" s="18"/>
      <c r="I158" s="18"/>
    </row>
    <row r="159" customFormat="false" ht="15" hidden="false" customHeight="false" outlineLevel="0" collapsed="false">
      <c r="A159" s="20"/>
      <c r="B159" s="18"/>
      <c r="C159" s="18"/>
      <c r="D159" s="21"/>
      <c r="E159" s="20"/>
      <c r="F159" s="19"/>
      <c r="G159" s="19"/>
      <c r="H159" s="18"/>
      <c r="I159" s="18"/>
    </row>
    <row r="160" customFormat="false" ht="15" hidden="false" customHeight="false" outlineLevel="0" collapsed="false">
      <c r="A160" s="20"/>
      <c r="B160" s="18"/>
      <c r="C160" s="18"/>
      <c r="D160" s="21"/>
      <c r="E160" s="20"/>
      <c r="F160" s="19"/>
      <c r="G160" s="19"/>
      <c r="H160" s="18"/>
      <c r="I160" s="18"/>
    </row>
    <row r="161" customFormat="false" ht="15" hidden="false" customHeight="false" outlineLevel="0" collapsed="false">
      <c r="A161" s="20"/>
      <c r="B161" s="18"/>
      <c r="C161" s="18"/>
      <c r="D161" s="21"/>
      <c r="E161" s="20"/>
      <c r="F161" s="19"/>
      <c r="G161" s="19"/>
      <c r="H161" s="18"/>
      <c r="I161" s="18"/>
    </row>
    <row r="162" customFormat="false" ht="15" hidden="false" customHeight="false" outlineLevel="0" collapsed="false">
      <c r="A162" s="20"/>
      <c r="B162" s="18"/>
      <c r="C162" s="18"/>
      <c r="D162" s="21"/>
      <c r="E162" s="20"/>
      <c r="F162" s="19"/>
      <c r="G162" s="19"/>
      <c r="H162" s="18"/>
      <c r="I162" s="18"/>
    </row>
    <row r="163" customFormat="false" ht="15" hidden="false" customHeight="false" outlineLevel="0" collapsed="false">
      <c r="A163" s="20"/>
      <c r="B163" s="18"/>
      <c r="C163" s="18"/>
      <c r="D163" s="21"/>
      <c r="E163" s="20"/>
      <c r="F163" s="19"/>
      <c r="G163" s="19"/>
      <c r="H163" s="18"/>
      <c r="I163" s="18"/>
    </row>
    <row r="164" customFormat="false" ht="15" hidden="false" customHeight="false" outlineLevel="0" collapsed="false">
      <c r="A164" s="20"/>
      <c r="B164" s="18"/>
      <c r="C164" s="18"/>
      <c r="D164" s="21"/>
      <c r="E164" s="20"/>
      <c r="F164" s="19"/>
      <c r="G164" s="19"/>
      <c r="H164" s="18"/>
      <c r="I164" s="18"/>
    </row>
    <row r="165" customFormat="false" ht="15" hidden="false" customHeight="false" outlineLevel="0" collapsed="false">
      <c r="A165" s="20"/>
      <c r="B165" s="18"/>
      <c r="C165" s="18"/>
      <c r="D165" s="21"/>
      <c r="E165" s="20"/>
      <c r="F165" s="19"/>
      <c r="G165" s="19"/>
      <c r="H165" s="18"/>
      <c r="I165" s="18"/>
    </row>
    <row r="166" customFormat="false" ht="15" hidden="false" customHeight="false" outlineLevel="0" collapsed="false">
      <c r="A166" s="20"/>
      <c r="B166" s="18"/>
      <c r="C166" s="18"/>
      <c r="D166" s="21"/>
      <c r="E166" s="20"/>
      <c r="F166" s="19"/>
      <c r="G166" s="19"/>
      <c r="H166" s="18"/>
      <c r="I166" s="18"/>
    </row>
    <row r="167" customFormat="false" ht="15" hidden="false" customHeight="false" outlineLevel="0" collapsed="false">
      <c r="A167" s="20"/>
      <c r="B167" s="18"/>
      <c r="C167" s="18"/>
      <c r="D167" s="21"/>
      <c r="E167" s="20"/>
      <c r="F167" s="19"/>
      <c r="G167" s="19"/>
      <c r="H167" s="18"/>
      <c r="I167" s="18"/>
    </row>
    <row r="168" customFormat="false" ht="15" hidden="false" customHeight="false" outlineLevel="0" collapsed="false">
      <c r="A168" s="20"/>
      <c r="B168" s="18"/>
      <c r="C168" s="18"/>
      <c r="D168" s="21"/>
      <c r="E168" s="20"/>
      <c r="F168" s="19"/>
      <c r="G168" s="19"/>
      <c r="H168" s="18"/>
      <c r="I168" s="18"/>
    </row>
    <row r="169" customFormat="false" ht="15" hidden="false" customHeight="false" outlineLevel="0" collapsed="false">
      <c r="A169" s="20"/>
      <c r="B169" s="18"/>
      <c r="C169" s="18"/>
      <c r="D169" s="21"/>
      <c r="E169" s="20"/>
      <c r="F169" s="19"/>
      <c r="G169" s="19"/>
      <c r="H169" s="18"/>
      <c r="I169" s="18"/>
    </row>
    <row r="170" customFormat="false" ht="15" hidden="false" customHeight="false" outlineLevel="0" collapsed="false">
      <c r="A170" s="20"/>
      <c r="B170" s="18"/>
      <c r="C170" s="18"/>
      <c r="D170" s="21"/>
      <c r="E170" s="20"/>
      <c r="F170" s="19"/>
      <c r="G170" s="19"/>
      <c r="H170" s="18"/>
      <c r="I170" s="18"/>
    </row>
    <row r="171" customFormat="false" ht="15" hidden="false" customHeight="false" outlineLevel="0" collapsed="false">
      <c r="A171" s="20"/>
      <c r="B171" s="18"/>
      <c r="C171" s="18"/>
      <c r="D171" s="21"/>
      <c r="E171" s="20"/>
      <c r="F171" s="19"/>
      <c r="G171" s="19"/>
      <c r="H171" s="18"/>
      <c r="I171" s="18"/>
    </row>
    <row r="172" customFormat="false" ht="15" hidden="false" customHeight="false" outlineLevel="0" collapsed="false">
      <c r="A172" s="20"/>
      <c r="B172" s="18"/>
      <c r="C172" s="18"/>
      <c r="D172" s="21"/>
      <c r="E172" s="20"/>
      <c r="F172" s="19"/>
      <c r="G172" s="19"/>
      <c r="H172" s="18"/>
      <c r="I172" s="18"/>
    </row>
    <row r="173" customFormat="false" ht="15" hidden="false" customHeight="false" outlineLevel="0" collapsed="false">
      <c r="A173" s="20"/>
      <c r="B173" s="18"/>
      <c r="C173" s="18"/>
      <c r="D173" s="21"/>
      <c r="E173" s="20"/>
      <c r="F173" s="19"/>
      <c r="G173" s="19"/>
      <c r="H173" s="18"/>
      <c r="I173" s="18"/>
    </row>
    <row r="174" customFormat="false" ht="15" hidden="false" customHeight="false" outlineLevel="0" collapsed="false">
      <c r="A174" s="20"/>
      <c r="B174" s="18"/>
      <c r="C174" s="18"/>
      <c r="D174" s="21"/>
      <c r="E174" s="20"/>
      <c r="F174" s="19"/>
      <c r="G174" s="19"/>
      <c r="H174" s="18"/>
      <c r="I174" s="18"/>
    </row>
    <row r="175" customFormat="false" ht="15" hidden="false" customHeight="false" outlineLevel="0" collapsed="false">
      <c r="A175" s="20"/>
      <c r="B175" s="18"/>
      <c r="C175" s="18"/>
      <c r="D175" s="21"/>
      <c r="E175" s="20"/>
      <c r="F175" s="19"/>
      <c r="G175" s="19"/>
      <c r="H175" s="18"/>
      <c r="I175" s="18"/>
    </row>
    <row r="176" customFormat="false" ht="15" hidden="false" customHeight="false" outlineLevel="0" collapsed="false">
      <c r="A176" s="20"/>
      <c r="B176" s="18"/>
      <c r="C176" s="18"/>
      <c r="D176" s="21"/>
      <c r="E176" s="20"/>
      <c r="F176" s="19"/>
      <c r="G176" s="19"/>
      <c r="H176" s="18"/>
      <c r="I176" s="18"/>
    </row>
    <row r="177" customFormat="false" ht="15" hidden="false" customHeight="false" outlineLevel="0" collapsed="false">
      <c r="A177" s="20"/>
      <c r="B177" s="18"/>
      <c r="C177" s="18"/>
      <c r="D177" s="21"/>
      <c r="E177" s="20"/>
      <c r="F177" s="19"/>
      <c r="G177" s="19"/>
      <c r="H177" s="18"/>
      <c r="I177" s="18"/>
    </row>
    <row r="178" customFormat="false" ht="15" hidden="false" customHeight="false" outlineLevel="0" collapsed="false">
      <c r="A178" s="20"/>
      <c r="B178" s="18"/>
      <c r="C178" s="18"/>
      <c r="D178" s="21"/>
      <c r="E178" s="20"/>
      <c r="F178" s="19"/>
      <c r="G178" s="19"/>
      <c r="H178" s="18"/>
      <c r="I178" s="18"/>
    </row>
    <row r="179" customFormat="false" ht="15" hidden="false" customHeight="false" outlineLevel="0" collapsed="false">
      <c r="A179" s="20"/>
      <c r="B179" s="18"/>
      <c r="C179" s="18"/>
      <c r="D179" s="21"/>
      <c r="E179" s="20"/>
      <c r="F179" s="19"/>
      <c r="G179" s="19"/>
      <c r="H179" s="18"/>
      <c r="I179" s="18"/>
    </row>
    <row r="180" customFormat="false" ht="15" hidden="false" customHeight="false" outlineLevel="0" collapsed="false">
      <c r="A180" s="20"/>
      <c r="B180" s="18"/>
      <c r="C180" s="18"/>
      <c r="D180" s="21"/>
      <c r="E180" s="20"/>
      <c r="F180" s="19"/>
      <c r="G180" s="19"/>
      <c r="H180" s="18"/>
      <c r="I180" s="18"/>
    </row>
    <row r="181" customFormat="false" ht="15" hidden="false" customHeight="false" outlineLevel="0" collapsed="false">
      <c r="A181" s="20"/>
      <c r="B181" s="18"/>
      <c r="C181" s="18"/>
      <c r="D181" s="21"/>
      <c r="E181" s="20"/>
      <c r="F181" s="19"/>
      <c r="G181" s="19"/>
      <c r="H181" s="18"/>
      <c r="I181" s="18"/>
    </row>
    <row r="182" customFormat="false" ht="15" hidden="false" customHeight="false" outlineLevel="0" collapsed="false">
      <c r="A182" s="20"/>
      <c r="B182" s="18"/>
      <c r="C182" s="18"/>
      <c r="D182" s="21"/>
      <c r="E182" s="20"/>
      <c r="F182" s="19"/>
      <c r="G182" s="19"/>
      <c r="H182" s="18"/>
      <c r="I182" s="18"/>
    </row>
    <row r="183" customFormat="false" ht="15" hidden="false" customHeight="false" outlineLevel="0" collapsed="false">
      <c r="A183" s="20"/>
      <c r="B183" s="18"/>
      <c r="C183" s="18"/>
      <c r="D183" s="21"/>
      <c r="E183" s="20"/>
      <c r="F183" s="19"/>
      <c r="G183" s="19"/>
      <c r="H183" s="18"/>
      <c r="I183" s="18"/>
    </row>
    <row r="184" customFormat="false" ht="15" hidden="false" customHeight="false" outlineLevel="0" collapsed="false">
      <c r="A184" s="20"/>
      <c r="B184" s="18"/>
      <c r="C184" s="18"/>
      <c r="D184" s="21"/>
      <c r="E184" s="20"/>
      <c r="F184" s="19"/>
      <c r="G184" s="19"/>
      <c r="H184" s="18"/>
      <c r="I184" s="18"/>
    </row>
    <row r="185" customFormat="false" ht="15" hidden="false" customHeight="false" outlineLevel="0" collapsed="false">
      <c r="A185" s="20"/>
      <c r="B185" s="18"/>
      <c r="C185" s="18"/>
      <c r="D185" s="21"/>
      <c r="E185" s="20"/>
      <c r="F185" s="19"/>
      <c r="G185" s="19"/>
      <c r="H185" s="18"/>
      <c r="I185" s="18"/>
    </row>
    <row r="186" customFormat="false" ht="15" hidden="false" customHeight="false" outlineLevel="0" collapsed="false">
      <c r="A186" s="20"/>
      <c r="B186" s="18"/>
      <c r="C186" s="18"/>
      <c r="D186" s="21"/>
      <c r="E186" s="20"/>
      <c r="F186" s="19"/>
      <c r="G186" s="19"/>
      <c r="H186" s="18"/>
      <c r="I186" s="18"/>
    </row>
    <row r="187" customFormat="false" ht="15" hidden="false" customHeight="false" outlineLevel="0" collapsed="false">
      <c r="A187" s="20"/>
      <c r="B187" s="18"/>
      <c r="C187" s="18"/>
      <c r="D187" s="21"/>
      <c r="E187" s="20"/>
      <c r="F187" s="19"/>
      <c r="G187" s="19"/>
      <c r="H187" s="18"/>
      <c r="I187" s="18"/>
    </row>
    <row r="188" customFormat="false" ht="15" hidden="false" customHeight="false" outlineLevel="0" collapsed="false">
      <c r="A188" s="20"/>
      <c r="B188" s="18"/>
      <c r="C188" s="18"/>
      <c r="D188" s="21"/>
      <c r="E188" s="20"/>
      <c r="F188" s="19"/>
      <c r="G188" s="19"/>
      <c r="H188" s="18"/>
      <c r="I188" s="18"/>
    </row>
    <row r="189" customFormat="false" ht="15" hidden="false" customHeight="false" outlineLevel="0" collapsed="false">
      <c r="A189" s="20"/>
      <c r="B189" s="18"/>
      <c r="C189" s="18"/>
      <c r="D189" s="21"/>
      <c r="E189" s="20"/>
      <c r="F189" s="19"/>
      <c r="G189" s="19"/>
      <c r="H189" s="18"/>
      <c r="I189" s="18"/>
    </row>
    <row r="190" customFormat="false" ht="15" hidden="false" customHeight="false" outlineLevel="0" collapsed="false">
      <c r="A190" s="20"/>
      <c r="B190" s="18"/>
      <c r="C190" s="18"/>
      <c r="D190" s="21"/>
      <c r="E190" s="20"/>
      <c r="F190" s="19"/>
      <c r="G190" s="19"/>
      <c r="H190" s="18"/>
      <c r="I190" s="18"/>
    </row>
    <row r="191" customFormat="false" ht="15" hidden="false" customHeight="false" outlineLevel="0" collapsed="false">
      <c r="A191" s="20"/>
      <c r="B191" s="18"/>
      <c r="C191" s="18"/>
      <c r="D191" s="21"/>
      <c r="E191" s="20"/>
      <c r="F191" s="19"/>
      <c r="G191" s="19"/>
      <c r="H191" s="18"/>
      <c r="I191" s="18"/>
    </row>
    <row r="192" customFormat="false" ht="15" hidden="false" customHeight="false" outlineLevel="0" collapsed="false">
      <c r="A192" s="20"/>
      <c r="B192" s="18"/>
      <c r="C192" s="18"/>
      <c r="D192" s="21"/>
      <c r="E192" s="20"/>
      <c r="F192" s="19"/>
      <c r="G192" s="19"/>
      <c r="H192" s="18"/>
      <c r="I192" s="18"/>
    </row>
    <row r="193" customFormat="false" ht="15" hidden="false" customHeight="false" outlineLevel="0" collapsed="false">
      <c r="A193" s="20"/>
      <c r="B193" s="18"/>
      <c r="C193" s="18"/>
      <c r="D193" s="21"/>
      <c r="E193" s="20"/>
      <c r="F193" s="19"/>
      <c r="G193" s="19"/>
      <c r="H193" s="18"/>
      <c r="I193" s="18"/>
    </row>
    <row r="194" customFormat="false" ht="15" hidden="false" customHeight="false" outlineLevel="0" collapsed="false">
      <c r="A194" s="20"/>
      <c r="B194" s="18"/>
      <c r="C194" s="18"/>
      <c r="D194" s="21"/>
      <c r="E194" s="20"/>
      <c r="F194" s="19"/>
      <c r="G194" s="19"/>
      <c r="H194" s="18"/>
      <c r="I194" s="18"/>
    </row>
    <row r="195" customFormat="false" ht="15" hidden="false" customHeight="false" outlineLevel="0" collapsed="false">
      <c r="A195" s="20"/>
      <c r="B195" s="18"/>
      <c r="C195" s="18"/>
      <c r="D195" s="21"/>
      <c r="E195" s="20"/>
      <c r="F195" s="19"/>
      <c r="G195" s="19"/>
      <c r="H195" s="18"/>
      <c r="I195" s="18"/>
    </row>
    <row r="196" customFormat="false" ht="15" hidden="false" customHeight="false" outlineLevel="0" collapsed="false">
      <c r="A196" s="20"/>
      <c r="B196" s="18"/>
      <c r="C196" s="18"/>
      <c r="D196" s="21"/>
      <c r="E196" s="20"/>
      <c r="F196" s="19"/>
      <c r="G196" s="19"/>
      <c r="H196" s="18"/>
      <c r="I196" s="18"/>
    </row>
    <row r="197" customFormat="false" ht="15" hidden="false" customHeight="false" outlineLevel="0" collapsed="false">
      <c r="A197" s="20"/>
      <c r="B197" s="18"/>
      <c r="C197" s="18"/>
      <c r="D197" s="21"/>
      <c r="E197" s="20"/>
      <c r="F197" s="19"/>
      <c r="G197" s="19"/>
      <c r="H197" s="18"/>
      <c r="I197" s="18"/>
    </row>
    <row r="198" customFormat="false" ht="15" hidden="false" customHeight="false" outlineLevel="0" collapsed="false">
      <c r="A198" s="20"/>
      <c r="B198" s="18"/>
      <c r="C198" s="18"/>
      <c r="D198" s="21"/>
      <c r="E198" s="20"/>
      <c r="F198" s="19"/>
      <c r="G198" s="19"/>
      <c r="H198" s="18"/>
      <c r="I198" s="18"/>
    </row>
    <row r="199" customFormat="false" ht="15" hidden="false" customHeight="false" outlineLevel="0" collapsed="false">
      <c r="A199" s="20"/>
      <c r="B199" s="18"/>
      <c r="C199" s="18"/>
      <c r="D199" s="21"/>
      <c r="E199" s="20"/>
      <c r="F199" s="19"/>
      <c r="G199" s="19"/>
      <c r="H199" s="18"/>
      <c r="I199" s="18"/>
    </row>
    <row r="200" customFormat="false" ht="15" hidden="false" customHeight="false" outlineLevel="0" collapsed="false">
      <c r="A200" s="20"/>
      <c r="B200" s="18"/>
      <c r="C200" s="18"/>
      <c r="D200" s="21"/>
      <c r="E200" s="20"/>
      <c r="F200" s="19"/>
      <c r="G200" s="19"/>
      <c r="H200" s="18"/>
      <c r="I200" s="18"/>
    </row>
    <row r="201" customFormat="false" ht="15" hidden="false" customHeight="false" outlineLevel="0" collapsed="false">
      <c r="A201" s="20"/>
      <c r="B201" s="18"/>
      <c r="C201" s="18"/>
      <c r="D201" s="21"/>
      <c r="E201" s="20"/>
      <c r="F201" s="19"/>
      <c r="G201" s="19"/>
      <c r="H201" s="18"/>
      <c r="I201" s="18"/>
    </row>
    <row r="202" customFormat="false" ht="15" hidden="false" customHeight="false" outlineLevel="0" collapsed="false">
      <c r="A202" s="20"/>
      <c r="B202" s="18"/>
      <c r="C202" s="18"/>
      <c r="D202" s="21"/>
      <c r="E202" s="20"/>
      <c r="F202" s="19"/>
      <c r="G202" s="19"/>
      <c r="H202" s="18"/>
      <c r="I202" s="18"/>
    </row>
    <row r="203" customFormat="false" ht="15" hidden="false" customHeight="false" outlineLevel="0" collapsed="false">
      <c r="A203" s="20"/>
      <c r="B203" s="18"/>
      <c r="C203" s="18"/>
      <c r="D203" s="21"/>
      <c r="E203" s="20"/>
      <c r="F203" s="19"/>
      <c r="G203" s="19"/>
      <c r="H203" s="18"/>
      <c r="I203" s="18"/>
    </row>
    <row r="204" customFormat="false" ht="15" hidden="false" customHeight="false" outlineLevel="0" collapsed="false">
      <c r="A204" s="20"/>
      <c r="B204" s="18"/>
      <c r="C204" s="18"/>
      <c r="D204" s="21"/>
      <c r="E204" s="20"/>
      <c r="F204" s="19"/>
      <c r="G204" s="19"/>
      <c r="H204" s="18"/>
      <c r="I204" s="18"/>
    </row>
    <row r="205" customFormat="false" ht="15" hidden="false" customHeight="false" outlineLevel="0" collapsed="false">
      <c r="A205" s="20"/>
      <c r="B205" s="18"/>
      <c r="C205" s="18"/>
      <c r="D205" s="21"/>
      <c r="E205" s="20"/>
      <c r="F205" s="19"/>
      <c r="G205" s="19"/>
      <c r="H205" s="18"/>
      <c r="I205" s="18"/>
    </row>
    <row r="206" customFormat="false" ht="15" hidden="false" customHeight="false" outlineLevel="0" collapsed="false">
      <c r="A206" s="20"/>
      <c r="B206" s="18"/>
      <c r="C206" s="18"/>
      <c r="D206" s="21"/>
      <c r="E206" s="20"/>
      <c r="F206" s="19"/>
      <c r="G206" s="19"/>
      <c r="H206" s="18"/>
      <c r="I206" s="18"/>
    </row>
    <row r="207" customFormat="false" ht="15" hidden="false" customHeight="false" outlineLevel="0" collapsed="false">
      <c r="A207" s="20"/>
      <c r="B207" s="18"/>
      <c r="C207" s="18"/>
      <c r="D207" s="21"/>
      <c r="E207" s="20"/>
      <c r="F207" s="19"/>
      <c r="G207" s="19"/>
      <c r="H207" s="18"/>
      <c r="I207" s="18"/>
    </row>
    <row r="208" customFormat="false" ht="15" hidden="false" customHeight="false" outlineLevel="0" collapsed="false">
      <c r="A208" s="20"/>
      <c r="B208" s="18"/>
      <c r="C208" s="18"/>
      <c r="D208" s="21"/>
      <c r="E208" s="20"/>
      <c r="F208" s="19"/>
      <c r="G208" s="19"/>
      <c r="H208" s="18"/>
      <c r="I208" s="18"/>
    </row>
    <row r="209" customFormat="false" ht="15" hidden="false" customHeight="false" outlineLevel="0" collapsed="false">
      <c r="A209" s="20"/>
      <c r="B209" s="18"/>
      <c r="C209" s="18"/>
      <c r="D209" s="21"/>
      <c r="E209" s="20"/>
      <c r="F209" s="19"/>
      <c r="G209" s="19"/>
      <c r="H209" s="18"/>
      <c r="I209" s="18"/>
    </row>
    <row r="210" customFormat="false" ht="15" hidden="false" customHeight="false" outlineLevel="0" collapsed="false">
      <c r="A210" s="20"/>
      <c r="B210" s="18"/>
      <c r="C210" s="18"/>
      <c r="D210" s="21"/>
      <c r="E210" s="20"/>
      <c r="F210" s="19"/>
      <c r="G210" s="19"/>
      <c r="H210" s="18"/>
      <c r="I210" s="18"/>
    </row>
    <row r="211" customFormat="false" ht="15" hidden="false" customHeight="false" outlineLevel="0" collapsed="false">
      <c r="A211" s="20"/>
      <c r="B211" s="18"/>
      <c r="C211" s="18"/>
      <c r="D211" s="21"/>
      <c r="E211" s="20"/>
      <c r="F211" s="19"/>
      <c r="G211" s="19"/>
      <c r="H211" s="18"/>
      <c r="I211" s="18"/>
    </row>
    <row r="212" customFormat="false" ht="15" hidden="false" customHeight="false" outlineLevel="0" collapsed="false">
      <c r="A212" s="20"/>
      <c r="B212" s="18"/>
      <c r="C212" s="18"/>
      <c r="D212" s="21"/>
      <c r="E212" s="20"/>
      <c r="F212" s="19"/>
      <c r="G212" s="19"/>
      <c r="H212" s="18"/>
      <c r="I212" s="18"/>
    </row>
    <row r="213" customFormat="false" ht="15" hidden="false" customHeight="false" outlineLevel="0" collapsed="false">
      <c r="A213" s="20"/>
      <c r="B213" s="18"/>
      <c r="C213" s="18"/>
      <c r="D213" s="21"/>
      <c r="E213" s="20"/>
      <c r="F213" s="19"/>
      <c r="G213" s="19"/>
      <c r="H213" s="18"/>
      <c r="I213" s="18"/>
    </row>
    <row r="214" customFormat="false" ht="15" hidden="false" customHeight="false" outlineLevel="0" collapsed="false">
      <c r="A214" s="20"/>
      <c r="B214" s="18"/>
      <c r="C214" s="18"/>
      <c r="D214" s="21"/>
      <c r="E214" s="20"/>
      <c r="F214" s="19"/>
      <c r="G214" s="19"/>
      <c r="H214" s="18"/>
      <c r="I214" s="18"/>
    </row>
    <row r="215" customFormat="false" ht="15" hidden="false" customHeight="false" outlineLevel="0" collapsed="false">
      <c r="A215" s="20"/>
      <c r="B215" s="18"/>
      <c r="C215" s="18"/>
      <c r="D215" s="21"/>
      <c r="E215" s="20"/>
      <c r="F215" s="19"/>
      <c r="G215" s="19"/>
      <c r="H215" s="18"/>
      <c r="I215" s="18"/>
    </row>
    <row r="216" customFormat="false" ht="15" hidden="false" customHeight="false" outlineLevel="0" collapsed="false">
      <c r="A216" s="20"/>
      <c r="B216" s="18"/>
      <c r="C216" s="18"/>
      <c r="D216" s="21"/>
      <c r="E216" s="20"/>
      <c r="F216" s="19"/>
      <c r="G216" s="19"/>
      <c r="H216" s="18"/>
      <c r="I216" s="18"/>
    </row>
    <row r="217" customFormat="false" ht="15" hidden="false" customHeight="false" outlineLevel="0" collapsed="false">
      <c r="A217" s="20"/>
      <c r="B217" s="18"/>
      <c r="C217" s="18"/>
      <c r="D217" s="21"/>
      <c r="E217" s="20"/>
      <c r="F217" s="19"/>
      <c r="G217" s="19"/>
      <c r="H217" s="18"/>
      <c r="I217" s="18"/>
    </row>
    <row r="218" customFormat="false" ht="15" hidden="false" customHeight="false" outlineLevel="0" collapsed="false">
      <c r="A218" s="20"/>
      <c r="B218" s="18"/>
      <c r="C218" s="18"/>
      <c r="D218" s="21"/>
      <c r="E218" s="20"/>
      <c r="F218" s="19"/>
      <c r="G218" s="19"/>
      <c r="H218" s="18"/>
      <c r="I218" s="18"/>
    </row>
    <row r="219" customFormat="false" ht="15" hidden="false" customHeight="false" outlineLevel="0" collapsed="false">
      <c r="A219" s="20"/>
      <c r="B219" s="18"/>
      <c r="C219" s="18"/>
      <c r="D219" s="21"/>
      <c r="E219" s="20"/>
      <c r="F219" s="19"/>
      <c r="G219" s="19"/>
      <c r="H219" s="18"/>
      <c r="I219" s="18"/>
    </row>
    <row r="220" customFormat="false" ht="15" hidden="false" customHeight="false" outlineLevel="0" collapsed="false">
      <c r="A220" s="20"/>
      <c r="B220" s="18"/>
      <c r="C220" s="18"/>
      <c r="D220" s="21"/>
      <c r="E220" s="20"/>
      <c r="F220" s="19"/>
      <c r="G220" s="19"/>
      <c r="H220" s="18"/>
      <c r="I220" s="18"/>
    </row>
    <row r="221" customFormat="false" ht="15" hidden="false" customHeight="false" outlineLevel="0" collapsed="false">
      <c r="A221" s="20"/>
      <c r="B221" s="18"/>
      <c r="C221" s="18"/>
      <c r="D221" s="21"/>
      <c r="E221" s="20"/>
      <c r="F221" s="19"/>
      <c r="G221" s="19"/>
      <c r="H221" s="18"/>
      <c r="I221" s="18"/>
    </row>
    <row r="222" customFormat="false" ht="15" hidden="false" customHeight="false" outlineLevel="0" collapsed="false">
      <c r="A222" s="20"/>
      <c r="B222" s="18"/>
      <c r="C222" s="18"/>
      <c r="D222" s="21"/>
      <c r="E222" s="20"/>
      <c r="F222" s="19"/>
      <c r="G222" s="19"/>
      <c r="H222" s="18"/>
      <c r="I222" s="18"/>
    </row>
    <row r="223" customFormat="false" ht="15" hidden="false" customHeight="false" outlineLevel="0" collapsed="false">
      <c r="A223" s="20"/>
      <c r="B223" s="18"/>
      <c r="C223" s="18"/>
      <c r="D223" s="21"/>
      <c r="E223" s="20"/>
      <c r="F223" s="19"/>
      <c r="G223" s="19"/>
      <c r="H223" s="18"/>
      <c r="I223" s="18"/>
    </row>
    <row r="224" customFormat="false" ht="15" hidden="false" customHeight="false" outlineLevel="0" collapsed="false">
      <c r="A224" s="20"/>
      <c r="B224" s="18"/>
      <c r="C224" s="18"/>
      <c r="D224" s="21"/>
      <c r="E224" s="20"/>
      <c r="F224" s="19"/>
      <c r="G224" s="19"/>
      <c r="H224" s="18"/>
      <c r="I224" s="18"/>
    </row>
    <row r="225" customFormat="false" ht="15" hidden="false" customHeight="false" outlineLevel="0" collapsed="false">
      <c r="A225" s="20"/>
      <c r="B225" s="18"/>
      <c r="C225" s="18"/>
      <c r="D225" s="21"/>
      <c r="E225" s="20"/>
      <c r="F225" s="19"/>
      <c r="G225" s="19"/>
      <c r="H225" s="18"/>
      <c r="I225" s="18"/>
    </row>
    <row r="226" customFormat="false" ht="15" hidden="false" customHeight="false" outlineLevel="0" collapsed="false">
      <c r="A226" s="20"/>
      <c r="B226" s="18"/>
      <c r="C226" s="18"/>
      <c r="D226" s="21"/>
      <c r="E226" s="20"/>
      <c r="F226" s="19"/>
      <c r="G226" s="19"/>
      <c r="H226" s="18"/>
      <c r="I226" s="18"/>
    </row>
    <row r="227" customFormat="false" ht="15" hidden="false" customHeight="false" outlineLevel="0" collapsed="false">
      <c r="A227" s="20"/>
      <c r="B227" s="18"/>
      <c r="C227" s="18"/>
      <c r="D227" s="21"/>
      <c r="E227" s="20"/>
      <c r="F227" s="19"/>
      <c r="G227" s="19"/>
      <c r="H227" s="18"/>
      <c r="I227" s="18"/>
    </row>
    <row r="228" customFormat="false" ht="15" hidden="false" customHeight="false" outlineLevel="0" collapsed="false">
      <c r="A228" s="20"/>
      <c r="B228" s="18"/>
      <c r="C228" s="18"/>
      <c r="D228" s="21"/>
      <c r="E228" s="20"/>
      <c r="F228" s="19"/>
      <c r="G228" s="19"/>
      <c r="H228" s="18"/>
      <c r="I228" s="18"/>
    </row>
    <row r="229" customFormat="false" ht="15" hidden="false" customHeight="false" outlineLevel="0" collapsed="false">
      <c r="A229" s="20"/>
      <c r="B229" s="18"/>
      <c r="C229" s="18"/>
      <c r="D229" s="21"/>
      <c r="E229" s="20"/>
      <c r="F229" s="19"/>
      <c r="G229" s="19"/>
      <c r="H229" s="18"/>
      <c r="I229" s="18"/>
    </row>
    <row r="230" customFormat="false" ht="15" hidden="false" customHeight="false" outlineLevel="0" collapsed="false">
      <c r="A230" s="20"/>
      <c r="B230" s="18"/>
      <c r="C230" s="18"/>
      <c r="D230" s="21"/>
      <c r="E230" s="20"/>
      <c r="F230" s="19"/>
      <c r="G230" s="19"/>
      <c r="H230" s="18"/>
      <c r="I230" s="18"/>
    </row>
    <row r="231" customFormat="false" ht="15" hidden="false" customHeight="false" outlineLevel="0" collapsed="false">
      <c r="A231" s="20"/>
      <c r="B231" s="18"/>
      <c r="C231" s="18"/>
      <c r="D231" s="21"/>
      <c r="E231" s="20"/>
      <c r="F231" s="19"/>
      <c r="G231" s="19"/>
      <c r="H231" s="18"/>
      <c r="I231" s="18"/>
    </row>
    <row r="232" customFormat="false" ht="15" hidden="false" customHeight="false" outlineLevel="0" collapsed="false">
      <c r="A232" s="20"/>
      <c r="B232" s="18"/>
      <c r="C232" s="18"/>
      <c r="D232" s="21"/>
      <c r="E232" s="20"/>
      <c r="F232" s="19"/>
      <c r="G232" s="19"/>
      <c r="H232" s="18"/>
      <c r="I232" s="18"/>
    </row>
    <row r="233" customFormat="false" ht="15" hidden="false" customHeight="false" outlineLevel="0" collapsed="false">
      <c r="A233" s="20"/>
      <c r="B233" s="18"/>
      <c r="C233" s="18"/>
      <c r="D233" s="21"/>
      <c r="E233" s="20"/>
      <c r="F233" s="19"/>
      <c r="G233" s="19"/>
      <c r="H233" s="18"/>
      <c r="I233" s="18"/>
    </row>
    <row r="234" customFormat="false" ht="15" hidden="false" customHeight="false" outlineLevel="0" collapsed="false">
      <c r="A234" s="20"/>
      <c r="B234" s="18"/>
      <c r="C234" s="18"/>
      <c r="D234" s="21"/>
      <c r="E234" s="20"/>
      <c r="F234" s="19"/>
      <c r="G234" s="19"/>
      <c r="H234" s="18"/>
      <c r="I234" s="18"/>
    </row>
    <row r="235" customFormat="false" ht="15" hidden="false" customHeight="false" outlineLevel="0" collapsed="false">
      <c r="A235" s="20"/>
      <c r="B235" s="18"/>
      <c r="C235" s="18"/>
      <c r="D235" s="21"/>
      <c r="E235" s="20"/>
      <c r="F235" s="19"/>
      <c r="G235" s="19"/>
      <c r="H235" s="18"/>
      <c r="I235" s="18"/>
    </row>
    <row r="236" customFormat="false" ht="15" hidden="false" customHeight="false" outlineLevel="0" collapsed="false">
      <c r="A236" s="20"/>
      <c r="B236" s="18"/>
      <c r="C236" s="18"/>
      <c r="D236" s="21"/>
      <c r="E236" s="20"/>
      <c r="F236" s="19"/>
      <c r="G236" s="19"/>
      <c r="H236" s="18"/>
      <c r="I236" s="18"/>
    </row>
    <row r="237" customFormat="false" ht="15" hidden="false" customHeight="false" outlineLevel="0" collapsed="false">
      <c r="A237" s="20"/>
      <c r="B237" s="18"/>
      <c r="C237" s="18"/>
      <c r="D237" s="21"/>
      <c r="E237" s="20"/>
      <c r="F237" s="19"/>
      <c r="G237" s="19"/>
      <c r="H237" s="18"/>
      <c r="I237" s="18"/>
    </row>
    <row r="238" customFormat="false" ht="15" hidden="false" customHeight="false" outlineLevel="0" collapsed="false">
      <c r="A238" s="20"/>
      <c r="B238" s="18"/>
      <c r="C238" s="18"/>
      <c r="D238" s="21"/>
      <c r="E238" s="20"/>
      <c r="F238" s="19"/>
      <c r="G238" s="19"/>
      <c r="H238" s="18"/>
      <c r="I238" s="18"/>
    </row>
    <row r="239" customFormat="false" ht="15" hidden="false" customHeight="false" outlineLevel="0" collapsed="false">
      <c r="A239" s="20"/>
      <c r="B239" s="18"/>
      <c r="C239" s="18"/>
      <c r="D239" s="21"/>
      <c r="E239" s="20"/>
      <c r="F239" s="19"/>
      <c r="G239" s="19"/>
      <c r="H239" s="18"/>
      <c r="I239" s="18"/>
    </row>
    <row r="240" customFormat="false" ht="15" hidden="false" customHeight="false" outlineLevel="0" collapsed="false">
      <c r="A240" s="20"/>
      <c r="B240" s="18"/>
      <c r="C240" s="18"/>
      <c r="D240" s="21"/>
      <c r="E240" s="20"/>
      <c r="F240" s="19"/>
      <c r="G240" s="19"/>
      <c r="H240" s="18"/>
      <c r="I240" s="18"/>
    </row>
    <row r="241" customFormat="false" ht="15" hidden="false" customHeight="false" outlineLevel="0" collapsed="false">
      <c r="A241" s="20"/>
      <c r="B241" s="18"/>
      <c r="C241" s="18"/>
      <c r="D241" s="21"/>
      <c r="E241" s="20"/>
      <c r="F241" s="19"/>
      <c r="G241" s="19"/>
      <c r="H241" s="18"/>
      <c r="I241" s="18"/>
    </row>
    <row r="242" customFormat="false" ht="15" hidden="false" customHeight="false" outlineLevel="0" collapsed="false">
      <c r="A242" s="20"/>
      <c r="B242" s="18"/>
      <c r="C242" s="18"/>
      <c r="D242" s="21"/>
      <c r="E242" s="20"/>
      <c r="F242" s="19"/>
      <c r="G242" s="19"/>
      <c r="H242" s="18"/>
      <c r="I242" s="18"/>
    </row>
    <row r="243" customFormat="false" ht="15" hidden="false" customHeight="false" outlineLevel="0" collapsed="false">
      <c r="A243" s="20"/>
      <c r="B243" s="18"/>
      <c r="C243" s="18"/>
      <c r="D243" s="21"/>
      <c r="E243" s="20"/>
      <c r="F243" s="19"/>
      <c r="G243" s="19"/>
      <c r="H243" s="18"/>
      <c r="I243" s="18"/>
    </row>
    <row r="244" customFormat="false" ht="15" hidden="false" customHeight="false" outlineLevel="0" collapsed="false">
      <c r="A244" s="20"/>
      <c r="B244" s="18"/>
      <c r="C244" s="18"/>
      <c r="D244" s="21"/>
      <c r="E244" s="20"/>
      <c r="F244" s="19"/>
      <c r="G244" s="19"/>
      <c r="H244" s="18"/>
      <c r="I244" s="18"/>
    </row>
    <row r="245" customFormat="false" ht="15" hidden="false" customHeight="false" outlineLevel="0" collapsed="false">
      <c r="A245" s="20"/>
      <c r="B245" s="18"/>
      <c r="C245" s="18"/>
      <c r="D245" s="21"/>
      <c r="E245" s="20"/>
      <c r="F245" s="19"/>
      <c r="G245" s="19"/>
      <c r="H245" s="18"/>
      <c r="I245" s="18"/>
    </row>
    <row r="246" customFormat="false" ht="15" hidden="false" customHeight="false" outlineLevel="0" collapsed="false">
      <c r="A246" s="20"/>
      <c r="B246" s="18"/>
      <c r="C246" s="18"/>
      <c r="D246" s="21"/>
      <c r="E246" s="20"/>
      <c r="F246" s="19"/>
      <c r="G246" s="19"/>
      <c r="H246" s="18"/>
      <c r="I246" s="18"/>
    </row>
    <row r="247" customFormat="false" ht="15" hidden="false" customHeight="false" outlineLevel="0" collapsed="false">
      <c r="A247" s="20"/>
      <c r="B247" s="18"/>
      <c r="C247" s="18"/>
      <c r="D247" s="21"/>
      <c r="E247" s="20"/>
      <c r="F247" s="19"/>
      <c r="G247" s="19"/>
      <c r="H247" s="18"/>
      <c r="I247" s="18"/>
    </row>
    <row r="248" customFormat="false" ht="15" hidden="false" customHeight="false" outlineLevel="0" collapsed="false">
      <c r="A248" s="20"/>
      <c r="B248" s="18"/>
      <c r="C248" s="18"/>
      <c r="D248" s="21"/>
      <c r="E248" s="20"/>
      <c r="F248" s="19"/>
      <c r="G248" s="19"/>
      <c r="H248" s="18"/>
      <c r="I248" s="18"/>
    </row>
    <row r="249" customFormat="false" ht="15" hidden="false" customHeight="false" outlineLevel="0" collapsed="false">
      <c r="A249" s="20"/>
      <c r="B249" s="18"/>
      <c r="C249" s="18"/>
      <c r="D249" s="21"/>
      <c r="E249" s="20"/>
      <c r="F249" s="19"/>
      <c r="G249" s="19"/>
      <c r="H249" s="18"/>
      <c r="I249" s="18"/>
    </row>
    <row r="250" customFormat="false" ht="15" hidden="false" customHeight="false" outlineLevel="0" collapsed="false">
      <c r="A250" s="20"/>
      <c r="B250" s="18"/>
      <c r="C250" s="18"/>
      <c r="D250" s="21"/>
      <c r="E250" s="20"/>
      <c r="F250" s="19"/>
      <c r="G250" s="19"/>
      <c r="H250" s="18"/>
      <c r="I250" s="18"/>
    </row>
    <row r="251" customFormat="false" ht="15" hidden="false" customHeight="false" outlineLevel="0" collapsed="false">
      <c r="A251" s="20"/>
      <c r="B251" s="18"/>
      <c r="C251" s="18"/>
      <c r="D251" s="21"/>
      <c r="E251" s="20"/>
      <c r="F251" s="19"/>
      <c r="G251" s="19"/>
      <c r="H251" s="18"/>
      <c r="I251" s="18"/>
    </row>
    <row r="252" customFormat="false" ht="15" hidden="false" customHeight="false" outlineLevel="0" collapsed="false">
      <c r="A252" s="20"/>
      <c r="B252" s="18"/>
      <c r="C252" s="18"/>
      <c r="D252" s="21"/>
      <c r="E252" s="20"/>
      <c r="F252" s="19"/>
      <c r="G252" s="19"/>
      <c r="H252" s="18"/>
      <c r="I252" s="18"/>
    </row>
    <row r="253" customFormat="false" ht="15" hidden="false" customHeight="false" outlineLevel="0" collapsed="false">
      <c r="A253" s="20"/>
      <c r="B253" s="18"/>
      <c r="C253" s="18"/>
      <c r="D253" s="21"/>
      <c r="E253" s="20"/>
      <c r="F253" s="19"/>
      <c r="G253" s="19"/>
      <c r="H253" s="18"/>
      <c r="I253" s="18"/>
    </row>
    <row r="254" customFormat="false" ht="15" hidden="false" customHeight="false" outlineLevel="0" collapsed="false">
      <c r="A254" s="20"/>
      <c r="B254" s="18"/>
      <c r="C254" s="18"/>
      <c r="D254" s="21"/>
      <c r="E254" s="20"/>
      <c r="F254" s="19"/>
      <c r="G254" s="19"/>
      <c r="H254" s="18"/>
      <c r="I254" s="18"/>
    </row>
    <row r="255" customFormat="false" ht="15" hidden="false" customHeight="false" outlineLevel="0" collapsed="false">
      <c r="A255" s="20"/>
      <c r="B255" s="18"/>
      <c r="C255" s="18"/>
      <c r="D255" s="21"/>
      <c r="E255" s="20"/>
      <c r="F255" s="19"/>
      <c r="G255" s="19"/>
      <c r="H255" s="18"/>
      <c r="I255" s="18"/>
    </row>
    <row r="256" customFormat="false" ht="15" hidden="false" customHeight="false" outlineLevel="0" collapsed="false">
      <c r="A256" s="20"/>
      <c r="B256" s="18"/>
      <c r="C256" s="18"/>
      <c r="D256" s="21"/>
      <c r="E256" s="20"/>
      <c r="F256" s="19"/>
      <c r="G256" s="19"/>
      <c r="H256" s="18"/>
      <c r="I256" s="18"/>
    </row>
    <row r="257" customFormat="false" ht="15" hidden="false" customHeight="false" outlineLevel="0" collapsed="false">
      <c r="A257" s="20"/>
      <c r="B257" s="18"/>
      <c r="C257" s="18"/>
      <c r="D257" s="21"/>
      <c r="E257" s="20"/>
      <c r="F257" s="19"/>
      <c r="G257" s="19"/>
      <c r="H257" s="18"/>
      <c r="I257" s="18"/>
    </row>
    <row r="258" customFormat="false" ht="15" hidden="false" customHeight="false" outlineLevel="0" collapsed="false">
      <c r="A258" s="20"/>
      <c r="B258" s="18"/>
      <c r="C258" s="18"/>
      <c r="D258" s="21"/>
      <c r="E258" s="20"/>
      <c r="F258" s="19"/>
      <c r="G258" s="19"/>
      <c r="H258" s="18"/>
      <c r="I258" s="18"/>
    </row>
    <row r="259" customFormat="false" ht="15" hidden="false" customHeight="false" outlineLevel="0" collapsed="false">
      <c r="A259" s="20"/>
      <c r="B259" s="18"/>
      <c r="C259" s="18"/>
      <c r="D259" s="21"/>
      <c r="E259" s="20"/>
      <c r="F259" s="19"/>
      <c r="G259" s="19"/>
      <c r="H259" s="18"/>
      <c r="I259" s="18"/>
    </row>
    <row r="260" customFormat="false" ht="15" hidden="false" customHeight="false" outlineLevel="0" collapsed="false">
      <c r="A260" s="20"/>
      <c r="B260" s="18"/>
      <c r="C260" s="18"/>
      <c r="D260" s="21"/>
      <c r="E260" s="20"/>
      <c r="F260" s="19"/>
      <c r="G260" s="19"/>
      <c r="H260" s="18"/>
      <c r="I260" s="18"/>
    </row>
    <row r="261" customFormat="false" ht="15" hidden="false" customHeight="false" outlineLevel="0" collapsed="false">
      <c r="A261" s="20"/>
      <c r="B261" s="18"/>
      <c r="C261" s="18"/>
      <c r="D261" s="21"/>
      <c r="E261" s="20"/>
      <c r="F261" s="19"/>
      <c r="G261" s="19"/>
      <c r="H261" s="18"/>
      <c r="I261" s="18"/>
    </row>
    <row r="262" customFormat="false" ht="15" hidden="false" customHeight="false" outlineLevel="0" collapsed="false">
      <c r="A262" s="20"/>
      <c r="B262" s="18"/>
      <c r="C262" s="18"/>
      <c r="D262" s="21"/>
      <c r="E262" s="20"/>
      <c r="F262" s="19"/>
      <c r="G262" s="19"/>
      <c r="H262" s="18"/>
      <c r="I262" s="18"/>
    </row>
    <row r="263" customFormat="false" ht="15" hidden="false" customHeight="false" outlineLevel="0" collapsed="false">
      <c r="A263" s="20"/>
      <c r="B263" s="18"/>
      <c r="C263" s="18"/>
      <c r="D263" s="21"/>
      <c r="E263" s="20"/>
      <c r="F263" s="19"/>
      <c r="G263" s="19"/>
      <c r="H263" s="18"/>
      <c r="I263" s="18"/>
    </row>
    <row r="264" customFormat="false" ht="15" hidden="false" customHeight="false" outlineLevel="0" collapsed="false">
      <c r="A264" s="20"/>
      <c r="B264" s="18"/>
      <c r="C264" s="18"/>
      <c r="D264" s="21"/>
      <c r="E264" s="20"/>
      <c r="F264" s="19"/>
      <c r="G264" s="19"/>
      <c r="H264" s="18"/>
      <c r="I264" s="18"/>
    </row>
    <row r="265" customFormat="false" ht="15" hidden="false" customHeight="false" outlineLevel="0" collapsed="false">
      <c r="A265" s="20"/>
      <c r="B265" s="18"/>
      <c r="C265" s="18"/>
      <c r="D265" s="21"/>
      <c r="E265" s="20"/>
      <c r="F265" s="19"/>
      <c r="G265" s="19"/>
      <c r="H265" s="18"/>
      <c r="I265" s="18"/>
    </row>
    <row r="266" customFormat="false" ht="15" hidden="false" customHeight="false" outlineLevel="0" collapsed="false">
      <c r="A266" s="20"/>
      <c r="B266" s="18"/>
      <c r="C266" s="18"/>
      <c r="D266" s="21"/>
      <c r="E266" s="20"/>
      <c r="F266" s="19"/>
      <c r="G266" s="19"/>
      <c r="H266" s="18"/>
      <c r="I266" s="18"/>
    </row>
    <row r="267" customFormat="false" ht="15" hidden="false" customHeight="false" outlineLevel="0" collapsed="false">
      <c r="A267" s="20"/>
      <c r="B267" s="18"/>
      <c r="C267" s="18"/>
      <c r="D267" s="21"/>
      <c r="E267" s="20"/>
      <c r="F267" s="19"/>
      <c r="G267" s="19"/>
      <c r="H267" s="18"/>
      <c r="I267" s="18"/>
    </row>
    <row r="268" customFormat="false" ht="15" hidden="false" customHeight="false" outlineLevel="0" collapsed="false">
      <c r="A268" s="20"/>
      <c r="B268" s="18"/>
      <c r="C268" s="18"/>
      <c r="D268" s="21"/>
      <c r="E268" s="20"/>
      <c r="F268" s="19"/>
      <c r="G268" s="19"/>
      <c r="H268" s="18"/>
      <c r="I268" s="18"/>
    </row>
    <row r="269" customFormat="false" ht="15" hidden="false" customHeight="false" outlineLevel="0" collapsed="false">
      <c r="A269" s="20"/>
      <c r="B269" s="18"/>
      <c r="C269" s="18"/>
      <c r="D269" s="21"/>
      <c r="E269" s="20"/>
      <c r="F269" s="19"/>
      <c r="G269" s="19"/>
      <c r="H269" s="18"/>
      <c r="I269" s="18"/>
    </row>
    <row r="270" customFormat="false" ht="15" hidden="false" customHeight="false" outlineLevel="0" collapsed="false">
      <c r="A270" s="20"/>
      <c r="B270" s="18"/>
      <c r="C270" s="18"/>
      <c r="D270" s="21"/>
      <c r="E270" s="20"/>
      <c r="F270" s="19"/>
      <c r="G270" s="19"/>
      <c r="H270" s="18"/>
      <c r="I270" s="18"/>
    </row>
    <row r="271" customFormat="false" ht="15" hidden="false" customHeight="false" outlineLevel="0" collapsed="false">
      <c r="A271" s="20"/>
      <c r="B271" s="18"/>
      <c r="C271" s="18"/>
      <c r="D271" s="21"/>
      <c r="E271" s="20"/>
      <c r="F271" s="19"/>
      <c r="G271" s="19"/>
      <c r="H271" s="18"/>
      <c r="I271" s="18"/>
    </row>
    <row r="272" customFormat="false" ht="15" hidden="false" customHeight="false" outlineLevel="0" collapsed="false">
      <c r="A272" s="20"/>
      <c r="B272" s="18"/>
      <c r="C272" s="18"/>
      <c r="D272" s="21"/>
      <c r="E272" s="20"/>
      <c r="F272" s="19"/>
      <c r="G272" s="19"/>
      <c r="H272" s="18"/>
      <c r="I272" s="18"/>
    </row>
    <row r="273" customFormat="false" ht="15" hidden="false" customHeight="false" outlineLevel="0" collapsed="false">
      <c r="A273" s="20"/>
      <c r="B273" s="18"/>
      <c r="C273" s="18"/>
      <c r="D273" s="21"/>
      <c r="E273" s="20"/>
      <c r="F273" s="19"/>
      <c r="G273" s="19"/>
      <c r="H273" s="18"/>
      <c r="I273" s="18"/>
    </row>
    <row r="274" customFormat="false" ht="15" hidden="false" customHeight="false" outlineLevel="0" collapsed="false">
      <c r="A274" s="20"/>
      <c r="B274" s="18"/>
      <c r="C274" s="18"/>
      <c r="D274" s="21"/>
      <c r="E274" s="20"/>
      <c r="F274" s="19"/>
      <c r="G274" s="19"/>
      <c r="H274" s="18"/>
      <c r="I274" s="18"/>
    </row>
    <row r="275" customFormat="false" ht="15" hidden="false" customHeight="false" outlineLevel="0" collapsed="false">
      <c r="A275" s="20"/>
      <c r="B275" s="18"/>
      <c r="C275" s="18"/>
      <c r="D275" s="21"/>
      <c r="E275" s="20"/>
      <c r="F275" s="19"/>
      <c r="G275" s="19"/>
      <c r="H275" s="18"/>
      <c r="I275" s="18"/>
    </row>
    <row r="276" customFormat="false" ht="15" hidden="false" customHeight="false" outlineLevel="0" collapsed="false">
      <c r="A276" s="20"/>
      <c r="B276" s="18"/>
      <c r="C276" s="18"/>
      <c r="D276" s="21"/>
      <c r="E276" s="20"/>
      <c r="F276" s="19"/>
      <c r="G276" s="19"/>
      <c r="H276" s="18"/>
      <c r="I276" s="18"/>
    </row>
    <row r="277" customFormat="false" ht="15" hidden="false" customHeight="false" outlineLevel="0" collapsed="false">
      <c r="A277" s="20"/>
      <c r="B277" s="18"/>
      <c r="C277" s="18"/>
      <c r="D277" s="21"/>
      <c r="E277" s="20"/>
      <c r="F277" s="19"/>
      <c r="G277" s="19"/>
      <c r="H277" s="18"/>
      <c r="I277" s="18"/>
    </row>
    <row r="278" customFormat="false" ht="15" hidden="false" customHeight="false" outlineLevel="0" collapsed="false">
      <c r="A278" s="20"/>
      <c r="B278" s="18"/>
      <c r="C278" s="18"/>
      <c r="D278" s="21"/>
      <c r="E278" s="20"/>
      <c r="F278" s="19"/>
      <c r="G278" s="19"/>
      <c r="H278" s="18"/>
      <c r="I278" s="18"/>
    </row>
    <row r="279" customFormat="false" ht="15" hidden="false" customHeight="false" outlineLevel="0" collapsed="false">
      <c r="A279" s="20"/>
      <c r="B279" s="18"/>
      <c r="C279" s="18"/>
      <c r="D279" s="21"/>
      <c r="E279" s="20"/>
      <c r="F279" s="19"/>
      <c r="G279" s="19"/>
      <c r="H279" s="18"/>
      <c r="I279" s="18"/>
    </row>
    <row r="280" customFormat="false" ht="15" hidden="false" customHeight="false" outlineLevel="0" collapsed="false">
      <c r="A280" s="20"/>
      <c r="B280" s="18"/>
      <c r="C280" s="18"/>
      <c r="D280" s="21"/>
      <c r="E280" s="20"/>
      <c r="F280" s="19"/>
      <c r="G280" s="19"/>
      <c r="H280" s="18"/>
      <c r="I280" s="18"/>
    </row>
    <row r="281" customFormat="false" ht="15" hidden="false" customHeight="false" outlineLevel="0" collapsed="false">
      <c r="A281" s="20"/>
      <c r="B281" s="18"/>
      <c r="C281" s="18"/>
      <c r="D281" s="21"/>
      <c r="E281" s="20"/>
      <c r="F281" s="19"/>
      <c r="G281" s="19"/>
      <c r="H281" s="18"/>
      <c r="I281" s="18"/>
    </row>
    <row r="282" customFormat="false" ht="15" hidden="false" customHeight="false" outlineLevel="0" collapsed="false">
      <c r="A282" s="20"/>
      <c r="B282" s="18"/>
      <c r="C282" s="18"/>
      <c r="D282" s="21"/>
      <c r="E282" s="20"/>
      <c r="F282" s="19"/>
      <c r="G282" s="19"/>
      <c r="H282" s="18"/>
      <c r="I282" s="18"/>
    </row>
    <row r="283" customFormat="false" ht="15" hidden="false" customHeight="false" outlineLevel="0" collapsed="false">
      <c r="A283" s="20"/>
      <c r="B283" s="18"/>
      <c r="C283" s="18"/>
      <c r="D283" s="21"/>
      <c r="E283" s="20"/>
      <c r="F283" s="19"/>
      <c r="G283" s="19"/>
      <c r="H283" s="18"/>
      <c r="I283" s="18"/>
    </row>
    <row r="284" customFormat="false" ht="15" hidden="false" customHeight="false" outlineLevel="0" collapsed="false">
      <c r="A284" s="20"/>
      <c r="B284" s="18"/>
      <c r="C284" s="18"/>
      <c r="D284" s="21"/>
      <c r="E284" s="20"/>
      <c r="F284" s="19"/>
      <c r="G284" s="19"/>
      <c r="H284" s="18"/>
      <c r="I284" s="18"/>
    </row>
    <row r="285" customFormat="false" ht="15" hidden="false" customHeight="false" outlineLevel="0" collapsed="false">
      <c r="A285" s="20"/>
      <c r="B285" s="18"/>
      <c r="C285" s="18"/>
      <c r="D285" s="21"/>
      <c r="E285" s="20"/>
      <c r="F285" s="19"/>
      <c r="G285" s="19"/>
      <c r="H285" s="18"/>
      <c r="I285" s="18"/>
    </row>
    <row r="286" customFormat="false" ht="15" hidden="false" customHeight="false" outlineLevel="0" collapsed="false">
      <c r="A286" s="20"/>
      <c r="B286" s="18"/>
      <c r="C286" s="18"/>
      <c r="D286" s="21"/>
      <c r="E286" s="20"/>
      <c r="F286" s="19"/>
      <c r="G286" s="19"/>
      <c r="H286" s="18"/>
      <c r="I286" s="18"/>
    </row>
    <row r="287" customFormat="false" ht="15" hidden="false" customHeight="false" outlineLevel="0" collapsed="false">
      <c r="A287" s="20"/>
      <c r="B287" s="18"/>
      <c r="C287" s="18"/>
      <c r="D287" s="21"/>
      <c r="E287" s="20"/>
      <c r="F287" s="19"/>
      <c r="G287" s="19"/>
      <c r="H287" s="18"/>
      <c r="I287" s="18"/>
    </row>
    <row r="288" customFormat="false" ht="15" hidden="false" customHeight="false" outlineLevel="0" collapsed="false">
      <c r="A288" s="20"/>
      <c r="B288" s="18"/>
      <c r="C288" s="18"/>
      <c r="D288" s="21"/>
      <c r="E288" s="20"/>
      <c r="F288" s="19"/>
      <c r="G288" s="19"/>
      <c r="H288" s="18"/>
      <c r="I288" s="18"/>
    </row>
    <row r="289" customFormat="false" ht="15" hidden="false" customHeight="false" outlineLevel="0" collapsed="false">
      <c r="A289" s="20"/>
      <c r="B289" s="18"/>
      <c r="C289" s="18"/>
      <c r="D289" s="21"/>
      <c r="E289" s="20"/>
      <c r="F289" s="19"/>
      <c r="G289" s="19"/>
      <c r="H289" s="18"/>
      <c r="I289" s="18"/>
    </row>
    <row r="290" customFormat="false" ht="15" hidden="false" customHeight="false" outlineLevel="0" collapsed="false">
      <c r="A290" s="20"/>
      <c r="B290" s="18"/>
      <c r="C290" s="18"/>
      <c r="D290" s="21"/>
      <c r="E290" s="20"/>
      <c r="F290" s="19"/>
      <c r="G290" s="19"/>
      <c r="H290" s="18"/>
      <c r="I290" s="18"/>
    </row>
    <row r="291" customFormat="false" ht="15" hidden="false" customHeight="false" outlineLevel="0" collapsed="false">
      <c r="A291" s="20"/>
      <c r="B291" s="18"/>
      <c r="C291" s="18"/>
      <c r="D291" s="21"/>
      <c r="E291" s="20"/>
      <c r="F291" s="19"/>
      <c r="G291" s="19"/>
      <c r="H291" s="18"/>
      <c r="I291" s="18"/>
    </row>
    <row r="292" customFormat="false" ht="15" hidden="false" customHeight="false" outlineLevel="0" collapsed="false">
      <c r="A292" s="20"/>
      <c r="B292" s="18"/>
      <c r="C292" s="18"/>
      <c r="D292" s="21"/>
      <c r="E292" s="20"/>
      <c r="F292" s="19"/>
      <c r="G292" s="19"/>
      <c r="H292" s="18"/>
      <c r="I292" s="18"/>
    </row>
    <row r="293" customFormat="false" ht="15" hidden="false" customHeight="false" outlineLevel="0" collapsed="false">
      <c r="A293" s="20"/>
      <c r="B293" s="18"/>
      <c r="C293" s="18"/>
      <c r="D293" s="21"/>
      <c r="E293" s="20"/>
      <c r="F293" s="19"/>
      <c r="G293" s="19"/>
      <c r="H293" s="18"/>
      <c r="I293" s="18"/>
    </row>
    <row r="294" customFormat="false" ht="15" hidden="false" customHeight="false" outlineLevel="0" collapsed="false">
      <c r="A294" s="20"/>
      <c r="B294" s="18"/>
      <c r="C294" s="18"/>
      <c r="D294" s="21"/>
      <c r="E294" s="20"/>
      <c r="F294" s="19"/>
      <c r="G294" s="19"/>
      <c r="H294" s="18"/>
      <c r="I294" s="18"/>
    </row>
    <row r="295" customFormat="false" ht="15" hidden="false" customHeight="false" outlineLevel="0" collapsed="false">
      <c r="A295" s="20"/>
      <c r="B295" s="18"/>
      <c r="C295" s="18"/>
      <c r="D295" s="21"/>
      <c r="E295" s="20"/>
      <c r="F295" s="19"/>
      <c r="G295" s="19"/>
      <c r="H295" s="18"/>
      <c r="I295" s="18"/>
    </row>
    <row r="296" customFormat="false" ht="15" hidden="false" customHeight="false" outlineLevel="0" collapsed="false">
      <c r="A296" s="20"/>
      <c r="B296" s="18"/>
      <c r="C296" s="18"/>
      <c r="D296" s="21"/>
      <c r="E296" s="20"/>
      <c r="F296" s="19"/>
      <c r="G296" s="19"/>
      <c r="H296" s="18"/>
      <c r="I296" s="18"/>
    </row>
    <row r="297" customFormat="false" ht="15" hidden="false" customHeight="false" outlineLevel="0" collapsed="false">
      <c r="A297" s="20"/>
      <c r="B297" s="18"/>
      <c r="C297" s="18"/>
      <c r="D297" s="21"/>
      <c r="E297" s="20"/>
      <c r="F297" s="19"/>
      <c r="G297" s="19"/>
      <c r="H297" s="18"/>
      <c r="I297" s="18"/>
    </row>
    <row r="298" customFormat="false" ht="15" hidden="false" customHeight="false" outlineLevel="0" collapsed="false">
      <c r="A298" s="20"/>
      <c r="B298" s="18"/>
      <c r="C298" s="18"/>
      <c r="D298" s="21"/>
      <c r="E298" s="20"/>
      <c r="F298" s="19"/>
      <c r="G298" s="19"/>
      <c r="H298" s="18"/>
      <c r="I298" s="18"/>
    </row>
    <row r="299" customFormat="false" ht="15" hidden="false" customHeight="false" outlineLevel="0" collapsed="false">
      <c r="A299" s="20"/>
      <c r="B299" s="18"/>
      <c r="C299" s="18"/>
      <c r="D299" s="21"/>
      <c r="E299" s="20"/>
      <c r="F299" s="19"/>
      <c r="G299" s="19"/>
      <c r="H299" s="18"/>
      <c r="I299" s="18"/>
    </row>
    <row r="300" customFormat="false" ht="15" hidden="false" customHeight="false" outlineLevel="0" collapsed="false">
      <c r="A300" s="20"/>
      <c r="B300" s="18"/>
      <c r="C300" s="18"/>
      <c r="D300" s="21"/>
      <c r="E300" s="20"/>
      <c r="F300" s="19"/>
      <c r="G300" s="19"/>
      <c r="H300" s="18"/>
      <c r="I300" s="18"/>
    </row>
    <row r="301" customFormat="false" ht="15" hidden="false" customHeight="false" outlineLevel="0" collapsed="false">
      <c r="A301" s="20"/>
      <c r="B301" s="18"/>
      <c r="C301" s="18"/>
      <c r="D301" s="21"/>
      <c r="E301" s="20"/>
      <c r="F301" s="19"/>
      <c r="G301" s="19"/>
      <c r="H301" s="18"/>
      <c r="I301" s="18"/>
    </row>
    <row r="302" customFormat="false" ht="15" hidden="false" customHeight="false" outlineLevel="0" collapsed="false">
      <c r="A302" s="20"/>
      <c r="B302" s="18"/>
      <c r="C302" s="18"/>
      <c r="D302" s="21"/>
      <c r="E302" s="20"/>
      <c r="F302" s="19"/>
      <c r="G302" s="19"/>
      <c r="H302" s="18"/>
      <c r="I302" s="18"/>
    </row>
    <row r="303" customFormat="false" ht="15" hidden="false" customHeight="false" outlineLevel="0" collapsed="false">
      <c r="A303" s="20"/>
      <c r="B303" s="18"/>
      <c r="C303" s="18"/>
      <c r="D303" s="21"/>
      <c r="E303" s="20"/>
      <c r="F303" s="19"/>
      <c r="G303" s="19"/>
      <c r="H303" s="18"/>
      <c r="I303" s="18"/>
    </row>
  </sheetData>
  <autoFilter ref="A3:I303"/>
  <dataValidations count="2">
    <dataValidation allowBlank="true" error="Elegí un valor de la lista" errorStyle="stop" errorTitle="Valor no válido" operator="between" showDropDown="false" showErrorMessage="false" showInputMessage="false" sqref="C4:C304" type="list">
      <formula1>"eCheq,Cheque,Transferencia,Efectivo"</formula1>
      <formula2>0</formula2>
    </dataValidation>
    <dataValidation allowBlank="true" error="Elegí un valor de la lista" errorStyle="stop" errorTitle="Valor no válido" operator="between" prompt="Cobrado = acreditado · En cartera = recibido, todavía no acreditado · Rechazado" promptTitle="Cargar" showDropDown="false" showErrorMessage="false" showInputMessage="false" sqref="H4:H304" type="list">
      <formula1>"Cobrado,En cartera,Rechazado"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4" hidden="false" customHeight="tru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B4" s="22" t="s">
        <v>77</v>
      </c>
    </row>
    <row r="5" customFormat="false" ht="15" hidden="false" customHeight="false" outlineLevel="0" collapsed="false">
      <c r="B5" s="23" t="s">
        <v>78</v>
      </c>
    </row>
    <row r="6" customFormat="false" ht="23.85" hidden="false" customHeight="false" outlineLevel="0" collapsed="false">
      <c r="B6" s="23" t="s">
        <v>79</v>
      </c>
    </row>
    <row r="7" customFormat="false" ht="15" hidden="false" customHeight="false" outlineLevel="0" collapsed="false">
      <c r="B7" s="23" t="s">
        <v>80</v>
      </c>
    </row>
    <row r="8" customFormat="false" ht="15" hidden="false" customHeight="false" outlineLevel="0" collapsed="false">
      <c r="B8" s="23" t="s">
        <v>81</v>
      </c>
    </row>
    <row r="9" customFormat="false" ht="15" hidden="false" customHeight="false" outlineLevel="0" collapsed="false">
      <c r="B9" s="23"/>
    </row>
    <row r="10" customFormat="false" ht="15" hidden="false" customHeight="false" outlineLevel="0" collapsed="false">
      <c r="B10" s="22" t="s">
        <v>82</v>
      </c>
    </row>
    <row r="11" customFormat="false" ht="15" hidden="false" customHeight="false" outlineLevel="0" collapsed="false">
      <c r="B11" s="23" t="s">
        <v>83</v>
      </c>
    </row>
    <row r="12" customFormat="false" ht="15" hidden="false" customHeight="false" outlineLevel="0" collapsed="false">
      <c r="B12" s="23" t="s">
        <v>84</v>
      </c>
    </row>
    <row r="13" customFormat="false" ht="15" hidden="false" customHeight="false" outlineLevel="0" collapsed="false">
      <c r="B13" s="23" t="s">
        <v>85</v>
      </c>
    </row>
    <row r="14" customFormat="false" ht="15" hidden="false" customHeight="false" outlineLevel="0" collapsed="false">
      <c r="B14" s="23"/>
    </row>
    <row r="15" customFormat="false" ht="15" hidden="false" customHeight="false" outlineLevel="0" collapsed="false">
      <c r="B15" s="22" t="s">
        <v>86</v>
      </c>
    </row>
    <row r="16" customFormat="false" ht="23.85" hidden="false" customHeight="false" outlineLevel="0" collapsed="false">
      <c r="B16" s="23" t="s">
        <v>87</v>
      </c>
    </row>
    <row r="17" customFormat="false" ht="23.85" hidden="false" customHeight="false" outlineLevel="0" collapsed="false">
      <c r="B17" s="23" t="s">
        <v>88</v>
      </c>
    </row>
    <row r="18" customFormat="false" ht="15" hidden="false" customHeight="false" outlineLevel="0" collapsed="false">
      <c r="B18" s="23"/>
    </row>
    <row r="19" customFormat="false" ht="15" hidden="false" customHeight="false" outlineLevel="0" collapsed="false">
      <c r="B19" s="22" t="s">
        <v>89</v>
      </c>
    </row>
    <row r="20" customFormat="false" ht="23.85" hidden="false" customHeight="false" outlineLevel="0" collapsed="false">
      <c r="B20" s="23" t="s">
        <v>90</v>
      </c>
    </row>
    <row r="21" customFormat="false" ht="15" hidden="false" customHeight="false" outlineLevel="0" collapsed="false">
      <c r="B21" s="23" t="s">
        <v>91</v>
      </c>
    </row>
    <row r="22" customFormat="false" ht="15" hidden="false" customHeight="false" outlineLevel="0" collapsed="false">
      <c r="B22" s="23"/>
    </row>
    <row r="23" customFormat="false" ht="23.85" hidden="false" customHeight="false" outlineLevel="0" collapsed="false">
      <c r="B23" s="2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2026-09-22T18:34:04Z</dcterms:created>
  <dc:creator>openpyxl</dc:creator>
  <dc:description/>
  <dc:language>en-US</dc:language>
  <cp:lastModifiedBy/>
  <dcterms:modified xsi:type="dcterms:W3CDTF">2026-09-22T18:34:04Z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